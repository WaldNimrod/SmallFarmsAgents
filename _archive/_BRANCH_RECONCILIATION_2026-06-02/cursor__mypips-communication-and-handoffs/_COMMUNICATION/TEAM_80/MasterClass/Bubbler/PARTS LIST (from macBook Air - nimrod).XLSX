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 Gallon Tank" sheetId="1" r:id="rId3"/>
    <sheet state="visible" name="100 Gallon Tank" sheetId="2" r:id="rId4"/>
    <sheet state="visible" name="150 Gallon Tank" sheetId="3" r:id="rId5"/>
  </sheets>
  <definedNames/>
  <calcPr/>
</workbook>
</file>

<file path=xl/sharedStrings.xml><?xml version="1.0" encoding="utf-8"?>
<sst xmlns="http://schemas.openxmlformats.org/spreadsheetml/2006/main" count="278" uniqueCount="106">
  <si>
    <t>Parts for 40 gallon tank</t>
  </si>
  <si>
    <t>Parts for 100 gallon tank</t>
  </si>
  <si>
    <t>For Larger sizes click the tabs at the bottom</t>
  </si>
  <si>
    <t>How many holes if the size is....</t>
  </si>
  <si>
    <t xml:space="preserve"> 9/64 (gentler)</t>
  </si>
  <si>
    <t>Holes 9/64</t>
  </si>
  <si>
    <t xml:space="preserve"> 5/32 (more vigorous)</t>
  </si>
  <si>
    <t>Holes 1/8</t>
  </si>
  <si>
    <t>Blower and Electrical</t>
  </si>
  <si>
    <t>Item</t>
  </si>
  <si>
    <t>Link</t>
  </si>
  <si>
    <t>Price</t>
  </si>
  <si>
    <t># Nessesary</t>
  </si>
  <si>
    <t>extended price</t>
  </si>
  <si>
    <t>Notes</t>
  </si>
  <si>
    <t>Ultra 9000 blower</t>
  </si>
  <si>
    <t>http://amzn.to/2uSQzdc</t>
  </si>
  <si>
    <t>PVC Adapter</t>
  </si>
  <si>
    <t>Silent Aire blower</t>
  </si>
  <si>
    <t>http://amzn.to/2ux04w6</t>
  </si>
  <si>
    <t>https://www.lowes.com/pd/Charlotte-Pipe-1-1-2-in-dia-PVC-Adapter-Coupling-Fitting/3132735</t>
  </si>
  <si>
    <t>alternative- I don't like as much</t>
  </si>
  <si>
    <t>power cord</t>
  </si>
  <si>
    <t>http://amzn.to/2eKr2ws</t>
  </si>
  <si>
    <t>if using the above blower- will need these conversion parts</t>
  </si>
  <si>
    <t>PVC pipe, 2"</t>
  </si>
  <si>
    <t>https://www.lowes.com/pd/Charlotte-Pipe-2-in-x-2-ft-280-Schedule-40-PVC-Pipe/3133457</t>
  </si>
  <si>
    <t>These items only nessesary if you are wiring to timer</t>
  </si>
  <si>
    <t>Electrical box</t>
  </si>
  <si>
    <t>http://amzn.to/2vF4m4B</t>
  </si>
  <si>
    <t>Timer</t>
  </si>
  <si>
    <t>http://amzn.to/2utvRjf</t>
  </si>
  <si>
    <t>alternative- I don't like as much- but fits 1.5 pipe</t>
  </si>
  <si>
    <t>Cable Strain relief grip</t>
  </si>
  <si>
    <t>https://www.lowes.com/pd/Gampak-1-2-in-BX-MC-Flex-Connector/3150211</t>
  </si>
  <si>
    <t>waterproof wire nuts</t>
  </si>
  <si>
    <t>https://www.lowes.com/pd/DryConn-25-Pack-Plastic-Wire-Connectors-Wire-Connector/3726292</t>
  </si>
  <si>
    <t>only need 2, comes in pack of 20</t>
  </si>
  <si>
    <t>tech screws</t>
  </si>
  <si>
    <t>https://www.lowes.com/pd/Hillman-10-Count-10-x-0-5-in-Stainless-Steel-Self-Drilling-Interior-Exterior-Sheet-Metal-Screws/3012369</t>
  </si>
  <si>
    <t>Total cost if buying everything</t>
  </si>
  <si>
    <t>All other parts</t>
  </si>
  <si>
    <t>Stock tank</t>
  </si>
  <si>
    <t>https://www.tractorsupply.com/tsc/product/rubbermaid-structural-foam-stock-tanks-100-gal-capacity?cm_vc=-10005</t>
  </si>
  <si>
    <t>40 gallon stock tank</t>
  </si>
  <si>
    <t>https://www.tractorsupply.com/tsc/product/tuff-stuff-products-heavy-duty-oval-tank-40-gal?cm_vc=-10005</t>
  </si>
  <si>
    <t>Pipe Strap</t>
  </si>
  <si>
    <t>https://www.lowes.com/pd/AMERICAN-VALVE-2-in-to-2-in-dia-Galvanized-2-Hole-Pipe-Strap/1244089</t>
  </si>
  <si>
    <t>Stainless pipe strap</t>
  </si>
  <si>
    <t>https://www.garvinindustries.com/stainless-steel-products/hanging-and-support/stainless-steel-conduit-straps/thssr-200?gclid=EAIaIQobChMI5ard7s2G1QIVApF-Ch3dFAhNEAYYAiABEgKuD_D_BwE</t>
  </si>
  <si>
    <t>https://www.lowes.com/pd/AMERICAN-VALVE-1-1-2-in-dia-Galvanized-2-Hole-Pipe-Strap/1244179</t>
  </si>
  <si>
    <t>https://www.garvinindustries.com/stainless-steel-products/hanging-and-support/stainless-steel-conduit-straps/thssr-150</t>
  </si>
  <si>
    <t>if you want to upgrade to stainless</t>
  </si>
  <si>
    <t>Stainless 1/4 nut</t>
  </si>
  <si>
    <t>https://www.lowes.com/pd/Hillman-1-4-in-Stainless-Steel-Standard-SAE-Hex-Nut/3109305</t>
  </si>
  <si>
    <t>Stainless bolt 3/4" 1/4</t>
  </si>
  <si>
    <t>https://www.lowes.com/pd/Hillman-1-4-in-20-x-3-4-in-Stainless-Steel-Carriage-Bolt/3701956</t>
  </si>
  <si>
    <t>Wing Nuts</t>
  </si>
  <si>
    <t>https://www.lowes.com/pd/Hillman-2-Count-1-4-in-Stainless-Steel-Standard-SAE-Forged-Wing-Nuts/3012213</t>
  </si>
  <si>
    <t>PVC Elbow</t>
  </si>
  <si>
    <t>https://www.lowes.com/pd/LASCO-2-in-Dia-90-Degree-PVC-Sch-40-Slip-Elbow/3307898</t>
  </si>
  <si>
    <t>https://www.lowes.com/pd/LASCO-1-1-2-in-Dia-90-Degree-PVC-Sch-40-Slip-Elbow/3307896</t>
  </si>
  <si>
    <t>PVC Tee</t>
  </si>
  <si>
    <t>https://www.lowes.com/pd/LASCO-2-in-Dia-90-Degree-PVC-Sch-40-Tee/3371582</t>
  </si>
  <si>
    <t>PVC cap</t>
  </si>
  <si>
    <t>https://www.lowes.com/pd/LASCO-1-1-2-in-Dia-PVC-Sch-40-Cap/3371576</t>
  </si>
  <si>
    <t>PVC Pipe- 10 ft</t>
  </si>
  <si>
    <t>https://www.lowes.com/pd/Charlotte-Pipe-2-in-x-10-ft-280-Sch-40-PVC-DWV-Pipe/3133041</t>
  </si>
  <si>
    <t>https://www.lowes.com/pd/LASCO-1-1-2-in-Dia-PVC-Sch-40-Tee/3344584</t>
  </si>
  <si>
    <t>https://www.lowes.com/pd/Charlotte-Pipe-2-in-Dia-PVC-Cap-Fitting/50053719</t>
  </si>
  <si>
    <t>PVC pipe- 10 ft</t>
  </si>
  <si>
    <t>https://www.lowes.com/pd/Charlotte-Pipe-1-1-2-in-x-10-ft-330-Sch-40-PVC-DWV-Pipe/3133037</t>
  </si>
  <si>
    <t>PVC valve</t>
  </si>
  <si>
    <t>https://www.menards.com/main/plumbing/rough-plumbing/pipe-tubing-hoses-fittings-accessories/valves/ball-valves/nds-reg-1-1-2-lead-free-pvc-slip-x-slip-ball-valve/p-1444448962253-c-9425.htm?tid=119329939901331980&amp;ipos=8</t>
  </si>
  <si>
    <t>Ball valve</t>
  </si>
  <si>
    <t>https://www.menards.com/main/plumbing/rough-plumbing/pipe-tubing-hoses-fittings-accessories/valves/ball-valves/nds-reg-2-lead-free-pvc-slip-x-slip-ball-valve/p-1444448961651.htm</t>
  </si>
  <si>
    <t>Total cost</t>
  </si>
  <si>
    <t>Easiest to turn- lowes brand is really hard</t>
  </si>
  <si>
    <t>Pipe Cut Size 1.5"</t>
  </si>
  <si>
    <t>Pipe Cut Size 2" pipe</t>
  </si>
  <si>
    <t>USEFUL ITEMS TO HAVE</t>
  </si>
  <si>
    <t>Description</t>
  </si>
  <si>
    <t># needed</t>
  </si>
  <si>
    <t>inches long</t>
  </si>
  <si>
    <t>Hudson Valve</t>
  </si>
  <si>
    <t>http://amzn.to/2ut7L88</t>
  </si>
  <si>
    <t>for filling tank without babysiting or overfilling</t>
  </si>
  <si>
    <t>Stand pipe</t>
  </si>
  <si>
    <t>pool skimmer</t>
  </si>
  <si>
    <t>http://amzn.to/2gZDn0w</t>
  </si>
  <si>
    <t>to clean out floating junk, bugs, etc</t>
  </si>
  <si>
    <t>blower piece</t>
  </si>
  <si>
    <t>Pipe Brush</t>
  </si>
  <si>
    <t>https://www.centralrestaurant.com/product_details.aspx?productId=808</t>
  </si>
  <si>
    <t>For cleaning tubes</t>
  </si>
  <si>
    <t>long bubbler</t>
  </si>
  <si>
    <t>PLUGS</t>
  </si>
  <si>
    <t>end pieces</t>
  </si>
  <si>
    <t>2" test plug</t>
  </si>
  <si>
    <t>https://www.menards.com/main/plumbing/rough-plumbing/pipe-tubing-hoses-fittings-accessories/fittings/pvc-fittings/mechanical-test-plug/p-1444442709961-c-8557.htm?tid=4084727424823471600&amp;ipos=3</t>
  </si>
  <si>
    <t>hard to use- but workable</t>
  </si>
  <si>
    <t>end stand</t>
  </si>
  <si>
    <t>http://amzn.to/2eMb19g</t>
  </si>
  <si>
    <t>online</t>
  </si>
  <si>
    <t>https://www.zoro.com/cherne-industries-pipe-plug-mechanical-2-in-273328/i/G0355871/</t>
  </si>
  <si>
    <t>have to twist to loosen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</si>
</sst>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24.0"/>
    </font>
    <font>
      <sz val="14.0"/>
      <color rgb="FF000000"/>
      <name val="Arial"/>
    </font>
    <font>
      <sz val="12.0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4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7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wes.com/pd/Charlotte-Pipe-1-1-2-in-x-10-ft-330-Sch-40-PVC-DWV-Pipe/3133037" TargetMode="External"/><Relationship Id="rId22" Type="http://schemas.openxmlformats.org/officeDocument/2006/relationships/hyperlink" Target="http://amzn.to/2ut7L88" TargetMode="External"/><Relationship Id="rId21" Type="http://schemas.openxmlformats.org/officeDocument/2006/relationships/hyperlink" Target="https://www.menards.com/main/plumbing/rough-plumbing/pipe-tubing-hoses-fittings-accessories/valves/ball-valves/nds-reg-1-1-2-lead-free-pvc-slip-x-slip-ball-valve/p-1444448962253-c-9425.htm?tid=119329939901331980&amp;ipos=8" TargetMode="External"/><Relationship Id="rId24" Type="http://schemas.openxmlformats.org/officeDocument/2006/relationships/hyperlink" Target="https://www.centralrestaurant.com/product_details.aspx?productId=808" TargetMode="External"/><Relationship Id="rId23" Type="http://schemas.openxmlformats.org/officeDocument/2006/relationships/hyperlink" Target="http://amzn.to/2gZDn0w" TargetMode="External"/><Relationship Id="rId1" Type="http://schemas.openxmlformats.org/officeDocument/2006/relationships/hyperlink" Target="http://amzn.to/2uSQzdc" TargetMode="External"/><Relationship Id="rId2" Type="http://schemas.openxmlformats.org/officeDocument/2006/relationships/hyperlink" Target="https://www.lowes.com/pd/Charlotte-Pipe-1-1-2-in-dia-PVC-Adapter-Coupling-Fitting/3132735" TargetMode="External"/><Relationship Id="rId3" Type="http://schemas.openxmlformats.org/officeDocument/2006/relationships/hyperlink" Target="https://www.lowes.com/pd/Charlotte-Pipe-2-in-x-2-ft-280-Schedule-40-PVC-Pipe/3133457" TargetMode="External"/><Relationship Id="rId4" Type="http://schemas.openxmlformats.org/officeDocument/2006/relationships/hyperlink" Target="http://amzn.to/2ux04w6" TargetMode="External"/><Relationship Id="rId9" Type="http://schemas.openxmlformats.org/officeDocument/2006/relationships/hyperlink" Target="https://www.lowes.com/pd/DryConn-25-Pack-Plastic-Wire-Connectors-Wire-Connector/3726292" TargetMode="External"/><Relationship Id="rId26" Type="http://schemas.openxmlformats.org/officeDocument/2006/relationships/hyperlink" Target="http://amzn.to/2eMb19g" TargetMode="External"/><Relationship Id="rId25" Type="http://schemas.openxmlformats.org/officeDocument/2006/relationships/hyperlink" Target="https://www.menards.com/main/plumbing/rough-plumbing/pipe-tubing-hoses-fittings-accessories/fittings/pvc-fittings/mechanical-test-plug/p-1444442709961-c-8557.htm?tid=4084727424823471600&amp;ipos=3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zoro.com/cherne-industries-pipe-plug-mechanical-2-in-273328/i/G0355871/" TargetMode="External"/><Relationship Id="rId5" Type="http://schemas.openxmlformats.org/officeDocument/2006/relationships/hyperlink" Target="http://amzn.to/2eKr2ws" TargetMode="External"/><Relationship Id="rId6" Type="http://schemas.openxmlformats.org/officeDocument/2006/relationships/hyperlink" Target="http://amzn.to/2vF4m4B" TargetMode="External"/><Relationship Id="rId7" Type="http://schemas.openxmlformats.org/officeDocument/2006/relationships/hyperlink" Target="http://amzn.to/2utvRjf" TargetMode="External"/><Relationship Id="rId8" Type="http://schemas.openxmlformats.org/officeDocument/2006/relationships/hyperlink" Target="https://www.lowes.com/pd/Gampak-1-2-in-BX-MC-Flex-Connector/3150211" TargetMode="External"/><Relationship Id="rId11" Type="http://schemas.openxmlformats.org/officeDocument/2006/relationships/hyperlink" Target="https://www.tractorsupply.com/tsc/product/tuff-stuff-products-heavy-duty-oval-tank-40-gal?cm_vc=-10005" TargetMode="External"/><Relationship Id="rId10" Type="http://schemas.openxmlformats.org/officeDocument/2006/relationships/hyperlink" Target="https://www.lowes.com/pd/Hillman-10-Count-10-x-0-5-in-Stainless-Steel-Self-Drilling-Interior-Exterior-Sheet-Metal-Screws/3012369" TargetMode="External"/><Relationship Id="rId13" Type="http://schemas.openxmlformats.org/officeDocument/2006/relationships/hyperlink" Target="https://www.garvinindustries.com/stainless-steel-products/hanging-and-support/stainless-steel-conduit-straps/thssr-150" TargetMode="External"/><Relationship Id="rId12" Type="http://schemas.openxmlformats.org/officeDocument/2006/relationships/hyperlink" Target="https://www.lowes.com/pd/AMERICAN-VALVE-1-1-2-in-dia-Galvanized-2-Hole-Pipe-Strap/1244179" TargetMode="External"/><Relationship Id="rId15" Type="http://schemas.openxmlformats.org/officeDocument/2006/relationships/hyperlink" Target="https://www.lowes.com/pd/Hillman-1-4-in-20-x-3-4-in-Stainless-Steel-Carriage-Bolt/3701956" TargetMode="External"/><Relationship Id="rId14" Type="http://schemas.openxmlformats.org/officeDocument/2006/relationships/hyperlink" Target="https://www.lowes.com/pd/Hillman-1-4-in-Stainless-Steel-Standard-SAE-Hex-Nut/3109305" TargetMode="External"/><Relationship Id="rId17" Type="http://schemas.openxmlformats.org/officeDocument/2006/relationships/hyperlink" Target="https://www.lowes.com/pd/LASCO-1-1-2-in-Dia-90-Degree-PVC-Sch-40-Slip-Elbow/3307896" TargetMode="External"/><Relationship Id="rId16" Type="http://schemas.openxmlformats.org/officeDocument/2006/relationships/hyperlink" Target="https://www.lowes.com/pd/Hillman-2-Count-1-4-in-Stainless-Steel-Standard-SAE-Forged-Wing-Nuts/3012213" TargetMode="External"/><Relationship Id="rId19" Type="http://schemas.openxmlformats.org/officeDocument/2006/relationships/hyperlink" Target="https://www.lowes.com/pd/LASCO-1-1-2-in-Dia-PVC-Sch-40-Tee/3344584" TargetMode="External"/><Relationship Id="rId18" Type="http://schemas.openxmlformats.org/officeDocument/2006/relationships/hyperlink" Target="https://www.lowes.com/pd/LASCO-1-1-2-in-Dia-PVC-Sch-40-Cap/3371576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amzn.to/2ut7L88" TargetMode="External"/><Relationship Id="rId22" Type="http://schemas.openxmlformats.org/officeDocument/2006/relationships/hyperlink" Target="https://www.centralrestaurant.com/product_details.aspx?productId=808" TargetMode="External"/><Relationship Id="rId21" Type="http://schemas.openxmlformats.org/officeDocument/2006/relationships/hyperlink" Target="http://amzn.to/2gZDn0w" TargetMode="External"/><Relationship Id="rId24" Type="http://schemas.openxmlformats.org/officeDocument/2006/relationships/hyperlink" Target="http://amzn.to/2eMb19g" TargetMode="External"/><Relationship Id="rId23" Type="http://schemas.openxmlformats.org/officeDocument/2006/relationships/hyperlink" Target="https://www.menards.com/main/plumbing/rough-plumbing/pipe-tubing-hoses-fittings-accessories/fittings/pvc-fittings/mechanical-test-plug/p-1444442709961-c-8557.htm?tid=4084727424823471600&amp;ipos=3" TargetMode="External"/><Relationship Id="rId1" Type="http://schemas.openxmlformats.org/officeDocument/2006/relationships/hyperlink" Target="http://amzn.to/2uSQzdc" TargetMode="External"/><Relationship Id="rId2" Type="http://schemas.openxmlformats.org/officeDocument/2006/relationships/hyperlink" Target="http://amzn.to/2ux04w6" TargetMode="External"/><Relationship Id="rId3" Type="http://schemas.openxmlformats.org/officeDocument/2006/relationships/hyperlink" Target="http://amzn.to/2eKr2ws" TargetMode="External"/><Relationship Id="rId4" Type="http://schemas.openxmlformats.org/officeDocument/2006/relationships/hyperlink" Target="http://amzn.to/2vF4m4B" TargetMode="External"/><Relationship Id="rId9" Type="http://schemas.openxmlformats.org/officeDocument/2006/relationships/hyperlink" Target="https://www.tractorsupply.com/tsc/product/rubbermaid-structural-foam-stock-tanks-100-gal-capacity?cm_vc=-10005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://amzn.to/2utvRjf" TargetMode="External"/><Relationship Id="rId6" Type="http://schemas.openxmlformats.org/officeDocument/2006/relationships/hyperlink" Target="https://www.lowes.com/pd/Gampak-1-2-in-BX-MC-Flex-Connector/3150211" TargetMode="External"/><Relationship Id="rId7" Type="http://schemas.openxmlformats.org/officeDocument/2006/relationships/hyperlink" Target="https://www.lowes.com/pd/DryConn-25-Pack-Plastic-Wire-Connectors-Wire-Connector/3726292" TargetMode="External"/><Relationship Id="rId8" Type="http://schemas.openxmlformats.org/officeDocument/2006/relationships/hyperlink" Target="https://www.lowes.com/pd/Hillman-10-Count-10-x-0-5-in-Stainless-Steel-Self-Drilling-Interior-Exterior-Sheet-Metal-Screws/3012369" TargetMode="External"/><Relationship Id="rId11" Type="http://schemas.openxmlformats.org/officeDocument/2006/relationships/hyperlink" Target="https://www.garvinindustries.com/stainless-steel-products/hanging-and-support/stainless-steel-conduit-straps/thssr-200?gclid=EAIaIQobChMI5ard7s2G1QIVApF-Ch3dFAhNEAYYAiABEgKuD_D_BwE" TargetMode="External"/><Relationship Id="rId10" Type="http://schemas.openxmlformats.org/officeDocument/2006/relationships/hyperlink" Target="https://www.lowes.com/pd/AMERICAN-VALVE-2-in-to-2-in-dia-Galvanized-2-Hole-Pipe-Strap/1244089" TargetMode="External"/><Relationship Id="rId13" Type="http://schemas.openxmlformats.org/officeDocument/2006/relationships/hyperlink" Target="https://www.lowes.com/pd/Hillman-1-4-in-20-x-3-4-in-Stainless-Steel-Carriage-Bolt/3701956" TargetMode="External"/><Relationship Id="rId12" Type="http://schemas.openxmlformats.org/officeDocument/2006/relationships/hyperlink" Target="https://www.lowes.com/pd/Hillman-1-4-in-Stainless-Steel-Standard-SAE-Hex-Nut/3109305" TargetMode="External"/><Relationship Id="rId15" Type="http://schemas.openxmlformats.org/officeDocument/2006/relationships/hyperlink" Target="https://www.lowes.com/pd/LASCO-2-in-Dia-90-Degree-PVC-Sch-40-Slip-Elbow/3307898" TargetMode="External"/><Relationship Id="rId14" Type="http://schemas.openxmlformats.org/officeDocument/2006/relationships/hyperlink" Target="https://www.lowes.com/pd/Hillman-2-Count-1-4-in-Stainless-Steel-Standard-SAE-Forged-Wing-Nuts/3012213" TargetMode="External"/><Relationship Id="rId17" Type="http://schemas.openxmlformats.org/officeDocument/2006/relationships/hyperlink" Target="https://www.lowes.com/pd/Charlotte-Pipe-2-in-x-10-ft-280-Sch-40-PVC-DWV-Pipe/3133041" TargetMode="External"/><Relationship Id="rId16" Type="http://schemas.openxmlformats.org/officeDocument/2006/relationships/hyperlink" Target="https://www.lowes.com/pd/LASCO-2-in-Dia-90-Degree-PVC-Sch-40-Tee/3371582" TargetMode="External"/><Relationship Id="rId19" Type="http://schemas.openxmlformats.org/officeDocument/2006/relationships/hyperlink" Target="https://www.menards.com/main/plumbing/rough-plumbing/pipe-tubing-hoses-fittings-accessories/valves/ball-valves/nds-reg-2-lead-free-pvc-slip-x-slip-ball-valve/p-1444448961651.htm" TargetMode="External"/><Relationship Id="rId18" Type="http://schemas.openxmlformats.org/officeDocument/2006/relationships/hyperlink" Target="https://www.lowes.com/pd/Charlotte-Pipe-2-in-Dia-PVC-Cap-Fitting/5005371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amzn.to/2ut7L88" TargetMode="External"/><Relationship Id="rId22" Type="http://schemas.openxmlformats.org/officeDocument/2006/relationships/hyperlink" Target="https://www.centralrestaurant.com/product_details.aspx?productId=808" TargetMode="External"/><Relationship Id="rId21" Type="http://schemas.openxmlformats.org/officeDocument/2006/relationships/hyperlink" Target="http://amzn.to/2gZDn0w" TargetMode="External"/><Relationship Id="rId24" Type="http://schemas.openxmlformats.org/officeDocument/2006/relationships/hyperlink" Target="http://amzn.to/2eMb19g" TargetMode="External"/><Relationship Id="rId23" Type="http://schemas.openxmlformats.org/officeDocument/2006/relationships/hyperlink" Target="https://www.menards.com/main/plumbing/rough-plumbing/pipe-tubing-hoses-fittings-accessories/fittings/pvc-fittings/mechanical-test-plug/p-1444442709961-c-8557.htm?tid=4084727424823471600&amp;ipos=3" TargetMode="External"/><Relationship Id="rId1" Type="http://schemas.openxmlformats.org/officeDocument/2006/relationships/hyperlink" Target="http://amzn.to/2uSQzdc" TargetMode="External"/><Relationship Id="rId2" Type="http://schemas.openxmlformats.org/officeDocument/2006/relationships/hyperlink" Target="http://amzn.to/2ux04w6" TargetMode="External"/><Relationship Id="rId3" Type="http://schemas.openxmlformats.org/officeDocument/2006/relationships/hyperlink" Target="http://amzn.to/2eKr2ws" TargetMode="External"/><Relationship Id="rId4" Type="http://schemas.openxmlformats.org/officeDocument/2006/relationships/hyperlink" Target="http://amzn.to/2vF4m4B" TargetMode="External"/><Relationship Id="rId9" Type="http://schemas.openxmlformats.org/officeDocument/2006/relationships/hyperlink" Target="https://www.tractorsupply.com/tsc/product/rubbermaid-structural-foam-stock-tanks-100-gal-capacity?cm_vc=-10005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://amzn.to/2utvRjf" TargetMode="External"/><Relationship Id="rId6" Type="http://schemas.openxmlformats.org/officeDocument/2006/relationships/hyperlink" Target="https://www.lowes.com/pd/Gampak-1-2-in-BX-MC-Flex-Connector/3150211" TargetMode="External"/><Relationship Id="rId7" Type="http://schemas.openxmlformats.org/officeDocument/2006/relationships/hyperlink" Target="https://www.lowes.com/pd/DryConn-25-Pack-Plastic-Wire-Connectors-Wire-Connector/3726292" TargetMode="External"/><Relationship Id="rId8" Type="http://schemas.openxmlformats.org/officeDocument/2006/relationships/hyperlink" Target="https://www.lowes.com/pd/Hillman-10-Count-10-x-0-5-in-Stainless-Steel-Self-Drilling-Interior-Exterior-Sheet-Metal-Screws/3012369" TargetMode="External"/><Relationship Id="rId11" Type="http://schemas.openxmlformats.org/officeDocument/2006/relationships/hyperlink" Target="https://www.garvinindustries.com/stainless-steel-products/hanging-and-support/stainless-steel-conduit-straps/thssr-200?gclid=EAIaIQobChMI5ard7s2G1QIVApF-Ch3dFAhNEAYYAiABEgKuD_D_BwE" TargetMode="External"/><Relationship Id="rId10" Type="http://schemas.openxmlformats.org/officeDocument/2006/relationships/hyperlink" Target="https://www.lowes.com/pd/AMERICAN-VALVE-2-in-to-2-in-dia-Galvanized-2-Hole-Pipe-Strap/1244089" TargetMode="External"/><Relationship Id="rId13" Type="http://schemas.openxmlformats.org/officeDocument/2006/relationships/hyperlink" Target="https://www.lowes.com/pd/Hillman-1-4-in-20-x-3-4-in-Stainless-Steel-Carriage-Bolt/3701956" TargetMode="External"/><Relationship Id="rId12" Type="http://schemas.openxmlformats.org/officeDocument/2006/relationships/hyperlink" Target="https://www.lowes.com/pd/Hillman-1-4-in-Stainless-Steel-Standard-SAE-Hex-Nut/3109305" TargetMode="External"/><Relationship Id="rId15" Type="http://schemas.openxmlformats.org/officeDocument/2006/relationships/hyperlink" Target="https://www.lowes.com/pd/LASCO-2-in-Dia-90-Degree-PVC-Sch-40-Slip-Elbow/3307898" TargetMode="External"/><Relationship Id="rId14" Type="http://schemas.openxmlformats.org/officeDocument/2006/relationships/hyperlink" Target="https://www.lowes.com/pd/Hillman-2-Count-1-4-in-Stainless-Steel-Standard-SAE-Forged-Wing-Nuts/3012213" TargetMode="External"/><Relationship Id="rId17" Type="http://schemas.openxmlformats.org/officeDocument/2006/relationships/hyperlink" Target="https://www.lowes.com/pd/Charlotte-Pipe-2-in-x-10-ft-280-Sch-40-PVC-DWV-Pipe/3133041" TargetMode="External"/><Relationship Id="rId16" Type="http://schemas.openxmlformats.org/officeDocument/2006/relationships/hyperlink" Target="https://www.lowes.com/pd/LASCO-2-in-Dia-90-Degree-PVC-Sch-40-Tee/3371582" TargetMode="External"/><Relationship Id="rId19" Type="http://schemas.openxmlformats.org/officeDocument/2006/relationships/hyperlink" Target="https://www.menards.com/main/plumbing/rough-plumbing/pipe-tubing-hoses-fittings-accessories/valves/ball-valves/nds-reg-2-lead-free-pvc-slip-x-slip-ball-valve/p-1444448961651.htm" TargetMode="External"/><Relationship Id="rId18" Type="http://schemas.openxmlformats.org/officeDocument/2006/relationships/hyperlink" Target="https://www.lowes.com/pd/Charlotte-Pipe-2-in-Dia-PVC-Cap-Fitting/500537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2.14"/>
  </cols>
  <sheetData>
    <row r="1">
      <c r="A1" s="1" t="s">
        <v>0</v>
      </c>
      <c r="B1" s="2"/>
      <c r="C1" s="2"/>
      <c r="D1" s="2"/>
      <c r="E1" s="3" t="s">
        <v>2</v>
      </c>
      <c r="I1" s="2"/>
      <c r="J1" s="2"/>
    </row>
    <row r="2">
      <c r="A2" s="5" t="s">
        <v>3</v>
      </c>
      <c r="B2" s="6"/>
      <c r="C2" s="5" t="s">
        <v>5</v>
      </c>
      <c r="D2" s="5">
        <v>30.0</v>
      </c>
      <c r="E2" s="6"/>
      <c r="F2" s="6"/>
      <c r="G2" s="6"/>
      <c r="H2" s="6"/>
      <c r="I2" s="6"/>
      <c r="J2" s="6"/>
    </row>
    <row r="3">
      <c r="A3" s="5" t="s">
        <v>3</v>
      </c>
      <c r="B3" s="6"/>
      <c r="C3" s="5" t="s">
        <v>7</v>
      </c>
      <c r="D3" s="5">
        <v>36.0</v>
      </c>
      <c r="E3" s="6"/>
      <c r="F3" s="6"/>
      <c r="G3" s="6"/>
      <c r="H3" s="6"/>
      <c r="I3" s="6"/>
      <c r="J3" s="6"/>
    </row>
    <row r="4">
      <c r="A4" s="5"/>
      <c r="B4" s="6"/>
      <c r="C4" s="5"/>
      <c r="D4" s="5"/>
      <c r="E4" s="5"/>
      <c r="F4" s="5"/>
      <c r="G4" s="5"/>
      <c r="H4" s="6"/>
      <c r="I4" s="6"/>
      <c r="J4" s="6"/>
    </row>
    <row r="5">
      <c r="A5" s="5" t="s">
        <v>8</v>
      </c>
      <c r="B5" s="6"/>
      <c r="C5" s="5"/>
      <c r="D5" s="5"/>
      <c r="E5" s="5"/>
      <c r="F5" s="5"/>
      <c r="G5" s="5"/>
      <c r="H5" s="6"/>
      <c r="I5" s="6"/>
      <c r="J5" s="6"/>
    </row>
    <row r="6">
      <c r="A6" s="7" t="s">
        <v>9</v>
      </c>
      <c r="B6" s="8"/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8"/>
      <c r="I6" s="8"/>
      <c r="J6" s="8"/>
    </row>
    <row r="7">
      <c r="A7" s="5" t="s">
        <v>15</v>
      </c>
      <c r="B7" s="6"/>
      <c r="C7" s="9" t="s">
        <v>16</v>
      </c>
      <c r="D7" s="5">
        <v>89.94</v>
      </c>
      <c r="E7" s="5">
        <v>1.0</v>
      </c>
      <c r="F7" s="6">
        <f>D7*E7</f>
        <v>89.94</v>
      </c>
      <c r="G7" s="5"/>
      <c r="H7" s="6"/>
      <c r="I7" s="6"/>
      <c r="J7" s="6"/>
    </row>
    <row r="8">
      <c r="A8" s="10" t="s">
        <v>17</v>
      </c>
      <c r="B8" s="11"/>
      <c r="C8" s="14" t="s">
        <v>20</v>
      </c>
      <c r="D8" s="10">
        <v>1.38</v>
      </c>
      <c r="E8" s="10">
        <v>1.0</v>
      </c>
      <c r="F8" s="11"/>
      <c r="G8" s="10" t="s">
        <v>24</v>
      </c>
      <c r="H8" s="11"/>
      <c r="I8" s="11"/>
      <c r="J8" s="11"/>
    </row>
    <row r="9">
      <c r="A9" s="10" t="s">
        <v>25</v>
      </c>
      <c r="B9" s="11"/>
      <c r="C9" s="14" t="s">
        <v>26</v>
      </c>
      <c r="D9" s="10">
        <v>5.22</v>
      </c>
      <c r="E9" s="10">
        <v>1.0</v>
      </c>
      <c r="F9" s="11"/>
      <c r="G9" s="10"/>
      <c r="H9" s="11"/>
      <c r="I9" s="11"/>
      <c r="J9" s="11"/>
    </row>
    <row r="10">
      <c r="A10" s="5" t="s">
        <v>18</v>
      </c>
      <c r="B10" s="6"/>
      <c r="C10" s="9" t="s">
        <v>19</v>
      </c>
      <c r="D10" s="5">
        <v>103.3</v>
      </c>
      <c r="E10" s="5"/>
      <c r="F10" s="6"/>
      <c r="G10" s="5" t="s">
        <v>32</v>
      </c>
      <c r="H10" s="6"/>
      <c r="I10" s="6"/>
      <c r="J10" s="6"/>
    </row>
    <row r="11">
      <c r="A11" s="12" t="s">
        <v>22</v>
      </c>
      <c r="B11" s="13"/>
      <c r="C11" s="15" t="s">
        <v>23</v>
      </c>
      <c r="D11" s="12">
        <v>6.58</v>
      </c>
      <c r="E11" s="12">
        <v>1.0</v>
      </c>
      <c r="F11" s="13">
        <f t="shared" ref="F11:F16" si="1">D11*E11</f>
        <v>6.58</v>
      </c>
      <c r="G11" s="12" t="s">
        <v>27</v>
      </c>
      <c r="H11" s="13"/>
      <c r="I11" s="13"/>
      <c r="J11" s="6"/>
    </row>
    <row r="12">
      <c r="A12" s="12" t="s">
        <v>28</v>
      </c>
      <c r="B12" s="13"/>
      <c r="C12" s="15" t="s">
        <v>29</v>
      </c>
      <c r="D12" s="12">
        <v>3.62</v>
      </c>
      <c r="E12" s="12">
        <v>1.0</v>
      </c>
      <c r="F12" s="13">
        <f t="shared" si="1"/>
        <v>3.62</v>
      </c>
      <c r="G12" s="5"/>
      <c r="H12" s="6"/>
      <c r="I12" s="6"/>
      <c r="J12" s="6"/>
    </row>
    <row r="13">
      <c r="A13" s="12" t="s">
        <v>30</v>
      </c>
      <c r="B13" s="13"/>
      <c r="C13" s="15" t="s">
        <v>31</v>
      </c>
      <c r="D13" s="12">
        <v>19.8</v>
      </c>
      <c r="E13" s="12">
        <v>1.0</v>
      </c>
      <c r="F13" s="13">
        <f t="shared" si="1"/>
        <v>19.8</v>
      </c>
      <c r="G13" s="5"/>
      <c r="H13" s="6"/>
      <c r="I13" s="6"/>
      <c r="J13" s="6"/>
    </row>
    <row r="14">
      <c r="A14" s="12" t="s">
        <v>33</v>
      </c>
      <c r="B14" s="13"/>
      <c r="C14" s="15" t="s">
        <v>34</v>
      </c>
      <c r="D14" s="12">
        <v>2.98</v>
      </c>
      <c r="E14" s="12">
        <v>2.0</v>
      </c>
      <c r="F14" s="13">
        <f t="shared" si="1"/>
        <v>5.96</v>
      </c>
      <c r="G14" s="5"/>
      <c r="H14" s="6"/>
      <c r="I14" s="6"/>
      <c r="J14" s="6"/>
    </row>
    <row r="15">
      <c r="A15" s="12" t="s">
        <v>35</v>
      </c>
      <c r="B15" s="13"/>
      <c r="C15" s="15" t="s">
        <v>36</v>
      </c>
      <c r="D15" s="12">
        <v>9.98</v>
      </c>
      <c r="E15" s="12">
        <v>1.0</v>
      </c>
      <c r="F15" s="13">
        <f t="shared" si="1"/>
        <v>9.98</v>
      </c>
      <c r="G15" s="5" t="s">
        <v>37</v>
      </c>
      <c r="H15" s="6"/>
      <c r="I15" s="6"/>
      <c r="J15" s="6"/>
    </row>
    <row r="16">
      <c r="A16" s="12" t="s">
        <v>38</v>
      </c>
      <c r="B16" s="13"/>
      <c r="C16" s="15" t="s">
        <v>39</v>
      </c>
      <c r="D16" s="12">
        <v>1.0</v>
      </c>
      <c r="E16" s="12">
        <v>2.59</v>
      </c>
      <c r="F16" s="13">
        <f t="shared" si="1"/>
        <v>2.59</v>
      </c>
      <c r="G16" s="5"/>
      <c r="H16" s="6"/>
      <c r="I16" s="6"/>
      <c r="J16" s="6"/>
    </row>
    <row r="17">
      <c r="A17" s="5"/>
      <c r="B17" s="6"/>
      <c r="C17" s="5"/>
      <c r="D17" s="5" t="s">
        <v>40</v>
      </c>
      <c r="E17" s="6"/>
      <c r="F17" s="5">
        <f>sum(F7:F16)</f>
        <v>138.47</v>
      </c>
      <c r="G17" s="5"/>
      <c r="H17" s="6"/>
      <c r="I17" s="6"/>
      <c r="J17" s="6"/>
    </row>
    <row r="18">
      <c r="A18" s="5"/>
      <c r="B18" s="6"/>
      <c r="C18" s="5"/>
      <c r="D18" s="5"/>
      <c r="E18" s="5"/>
      <c r="F18" s="5"/>
      <c r="G18" s="5"/>
      <c r="H18" s="6"/>
      <c r="I18" s="6"/>
      <c r="J18" s="6"/>
    </row>
    <row r="19">
      <c r="A19" s="7" t="s">
        <v>41</v>
      </c>
      <c r="B19" s="8"/>
      <c r="C19" s="7"/>
      <c r="D19" s="7"/>
      <c r="E19" s="7"/>
      <c r="F19" s="7"/>
      <c r="G19" s="7"/>
      <c r="H19" s="8"/>
      <c r="I19" s="8"/>
      <c r="J19" s="8"/>
    </row>
    <row r="20">
      <c r="A20" s="7" t="s">
        <v>9</v>
      </c>
      <c r="B20" s="8"/>
      <c r="C20" s="7" t="s">
        <v>10</v>
      </c>
      <c r="D20" s="7" t="s">
        <v>11</v>
      </c>
      <c r="E20" s="7" t="s">
        <v>12</v>
      </c>
      <c r="F20" s="7" t="s">
        <v>13</v>
      </c>
      <c r="G20" s="7" t="s">
        <v>14</v>
      </c>
      <c r="H20" s="8"/>
      <c r="I20" s="8"/>
      <c r="J20" s="8"/>
    </row>
    <row r="21">
      <c r="A21" s="5" t="s">
        <v>44</v>
      </c>
      <c r="B21" s="6"/>
      <c r="C21" s="9" t="s">
        <v>45</v>
      </c>
      <c r="D21" s="5">
        <v>42.99</v>
      </c>
      <c r="E21" s="5">
        <v>1.0</v>
      </c>
      <c r="F21" s="6">
        <f t="shared" ref="F21:F31" si="2">D21*E21</f>
        <v>42.99</v>
      </c>
      <c r="G21" s="6"/>
      <c r="H21" s="6"/>
      <c r="I21" s="6"/>
      <c r="J21" s="6"/>
    </row>
    <row r="22">
      <c r="A22" s="5" t="s">
        <v>46</v>
      </c>
      <c r="B22" s="6"/>
      <c r="C22" s="9" t="s">
        <v>50</v>
      </c>
      <c r="D22" s="5">
        <v>0.91</v>
      </c>
      <c r="E22" s="5">
        <v>2.0</v>
      </c>
      <c r="F22" s="6">
        <f t="shared" si="2"/>
        <v>1.82</v>
      </c>
      <c r="G22" s="6"/>
      <c r="H22" s="6"/>
      <c r="I22" s="6"/>
      <c r="J22" s="6"/>
    </row>
    <row r="23">
      <c r="A23" s="5" t="s">
        <v>48</v>
      </c>
      <c r="B23" s="6"/>
      <c r="C23" s="9" t="s">
        <v>51</v>
      </c>
      <c r="D23" s="5">
        <v>5.79</v>
      </c>
      <c r="E23" s="5">
        <v>0.0</v>
      </c>
      <c r="F23" s="6">
        <f t="shared" si="2"/>
        <v>0</v>
      </c>
      <c r="G23" s="5" t="s">
        <v>52</v>
      </c>
      <c r="H23" s="6"/>
      <c r="I23" s="6"/>
      <c r="J23" s="6"/>
    </row>
    <row r="24">
      <c r="A24" s="5" t="s">
        <v>53</v>
      </c>
      <c r="B24" s="6"/>
      <c r="C24" s="9" t="s">
        <v>54</v>
      </c>
      <c r="D24" s="5">
        <v>0.27</v>
      </c>
      <c r="E24" s="5">
        <v>4.0</v>
      </c>
      <c r="F24" s="6">
        <f t="shared" si="2"/>
        <v>1.08</v>
      </c>
      <c r="G24" s="6"/>
      <c r="H24" s="6"/>
      <c r="I24" s="6"/>
      <c r="J24" s="6"/>
    </row>
    <row r="25">
      <c r="A25" s="5" t="s">
        <v>55</v>
      </c>
      <c r="B25" s="6"/>
      <c r="C25" s="9" t="s">
        <v>56</v>
      </c>
      <c r="D25" s="5">
        <v>0.92</v>
      </c>
      <c r="E25" s="5">
        <v>4.0</v>
      </c>
      <c r="F25" s="6">
        <f t="shared" si="2"/>
        <v>3.68</v>
      </c>
      <c r="G25" s="6"/>
      <c r="H25" s="6"/>
      <c r="I25" s="6"/>
      <c r="J25" s="6"/>
    </row>
    <row r="26">
      <c r="A26" s="5" t="s">
        <v>57</v>
      </c>
      <c r="B26" s="6"/>
      <c r="C26" s="9" t="s">
        <v>58</v>
      </c>
      <c r="D26" s="5">
        <v>1.18</v>
      </c>
      <c r="E26" s="5">
        <v>2.0</v>
      </c>
      <c r="F26" s="6">
        <f t="shared" si="2"/>
        <v>2.36</v>
      </c>
      <c r="G26" s="6"/>
      <c r="H26" s="6"/>
      <c r="I26" s="6"/>
      <c r="J26" s="6"/>
    </row>
    <row r="27">
      <c r="A27" s="5" t="s">
        <v>59</v>
      </c>
      <c r="B27" s="5"/>
      <c r="C27" s="9" t="s">
        <v>61</v>
      </c>
      <c r="D27" s="5">
        <v>1.72</v>
      </c>
      <c r="E27" s="5">
        <v>4.0</v>
      </c>
      <c r="F27" s="6">
        <f t="shared" si="2"/>
        <v>6.88</v>
      </c>
      <c r="G27" s="6"/>
      <c r="H27" s="6"/>
      <c r="I27" s="6"/>
      <c r="J27" s="6"/>
    </row>
    <row r="28">
      <c r="A28" s="5" t="s">
        <v>64</v>
      </c>
      <c r="B28" s="6"/>
      <c r="C28" s="9" t="s">
        <v>65</v>
      </c>
      <c r="D28" s="5">
        <v>0.98</v>
      </c>
      <c r="E28" s="5">
        <v>1.0</v>
      </c>
      <c r="F28" s="6">
        <f t="shared" si="2"/>
        <v>0.98</v>
      </c>
      <c r="G28" s="6"/>
      <c r="H28" s="6"/>
      <c r="I28" s="6"/>
      <c r="J28" s="6"/>
    </row>
    <row r="29">
      <c r="A29" s="5" t="s">
        <v>62</v>
      </c>
      <c r="B29" s="6"/>
      <c r="C29" s="9" t="s">
        <v>68</v>
      </c>
      <c r="D29" s="5">
        <v>2.23</v>
      </c>
      <c r="E29" s="5">
        <v>2.0</v>
      </c>
      <c r="F29" s="6">
        <f t="shared" si="2"/>
        <v>4.46</v>
      </c>
      <c r="G29" s="6"/>
      <c r="H29" s="6"/>
      <c r="I29" s="6"/>
      <c r="J29" s="6"/>
    </row>
    <row r="30">
      <c r="A30" s="5" t="s">
        <v>70</v>
      </c>
      <c r="B30" s="6"/>
      <c r="C30" s="9" t="s">
        <v>71</v>
      </c>
      <c r="D30" s="5">
        <v>5.52</v>
      </c>
      <c r="E30" s="5">
        <v>1.0</v>
      </c>
      <c r="F30" s="6">
        <f t="shared" si="2"/>
        <v>5.52</v>
      </c>
      <c r="G30" s="6"/>
      <c r="H30" s="6"/>
      <c r="I30" s="6"/>
      <c r="J30" s="6"/>
    </row>
    <row r="31">
      <c r="A31" s="5" t="s">
        <v>72</v>
      </c>
      <c r="B31" s="6"/>
      <c r="C31" s="9" t="s">
        <v>73</v>
      </c>
      <c r="D31" s="5">
        <v>8.99</v>
      </c>
      <c r="E31" s="5">
        <v>1.0</v>
      </c>
      <c r="F31" s="6">
        <f t="shared" si="2"/>
        <v>8.99</v>
      </c>
      <c r="G31" s="6"/>
      <c r="H31" s="6"/>
      <c r="I31" s="6"/>
      <c r="J31" s="6"/>
    </row>
    <row r="32">
      <c r="A32" s="5"/>
      <c r="B32" s="5"/>
      <c r="C32" s="5"/>
      <c r="D32" s="6"/>
      <c r="E32" s="5" t="s">
        <v>76</v>
      </c>
      <c r="F32" s="6">
        <f>sum(F21:F31)</f>
        <v>78.76</v>
      </c>
      <c r="G32" s="6"/>
      <c r="H32" s="6"/>
      <c r="I32" s="6"/>
      <c r="J32" s="6"/>
    </row>
    <row r="33">
      <c r="A33" s="5"/>
      <c r="B33" s="5"/>
      <c r="C33" s="5"/>
      <c r="D33" s="6"/>
      <c r="E33" s="6"/>
      <c r="F33" s="6"/>
      <c r="G33" s="6"/>
      <c r="H33" s="6"/>
      <c r="I33" s="6"/>
      <c r="J33" s="6"/>
    </row>
    <row r="34">
      <c r="A34" s="16" t="s">
        <v>78</v>
      </c>
      <c r="B34" s="16"/>
      <c r="C34" s="16"/>
      <c r="D34" s="6"/>
      <c r="E34" s="17" t="s">
        <v>80</v>
      </c>
      <c r="F34" s="18"/>
      <c r="G34" s="18"/>
      <c r="H34" s="18"/>
      <c r="I34" s="18"/>
      <c r="J34" s="18"/>
    </row>
    <row r="35">
      <c r="A35" s="16" t="s">
        <v>81</v>
      </c>
      <c r="B35" s="16" t="s">
        <v>82</v>
      </c>
      <c r="C35" s="16" t="s">
        <v>83</v>
      </c>
      <c r="D35" s="6"/>
      <c r="E35" s="17" t="s">
        <v>84</v>
      </c>
      <c r="F35" s="19" t="s">
        <v>85</v>
      </c>
      <c r="G35" s="17">
        <v>34.29</v>
      </c>
      <c r="H35" s="17" t="s">
        <v>86</v>
      </c>
      <c r="I35" s="18"/>
      <c r="J35" s="18"/>
    </row>
    <row r="36">
      <c r="A36" s="16" t="s">
        <v>87</v>
      </c>
      <c r="B36" s="16">
        <v>1.0</v>
      </c>
      <c r="C36" s="16">
        <v>10.5</v>
      </c>
      <c r="D36" s="6"/>
      <c r="E36" s="17" t="s">
        <v>88</v>
      </c>
      <c r="F36" s="19" t="s">
        <v>89</v>
      </c>
      <c r="G36" s="17">
        <v>15.99</v>
      </c>
      <c r="H36" s="17" t="s">
        <v>90</v>
      </c>
      <c r="I36" s="18"/>
      <c r="J36" s="18"/>
    </row>
    <row r="37">
      <c r="A37" s="16" t="s">
        <v>91</v>
      </c>
      <c r="B37" s="16">
        <v>1.0</v>
      </c>
      <c r="C37" s="16">
        <v>3.0</v>
      </c>
      <c r="D37" s="6"/>
      <c r="E37" s="17" t="s">
        <v>92</v>
      </c>
      <c r="F37" s="19" t="s">
        <v>93</v>
      </c>
      <c r="G37" s="17">
        <v>5.59</v>
      </c>
      <c r="H37" s="17" t="s">
        <v>94</v>
      </c>
      <c r="I37" s="18"/>
      <c r="J37" s="18"/>
    </row>
    <row r="38">
      <c r="A38" s="16" t="s">
        <v>95</v>
      </c>
      <c r="B38" s="16">
        <v>2.0</v>
      </c>
      <c r="C38" s="16">
        <v>24.25</v>
      </c>
      <c r="D38" s="6"/>
      <c r="E38" s="17" t="s">
        <v>96</v>
      </c>
      <c r="F38" s="18"/>
      <c r="G38" s="18"/>
      <c r="H38" s="18"/>
      <c r="I38" s="18"/>
      <c r="J38" s="18"/>
    </row>
    <row r="39">
      <c r="A39" s="16" t="s">
        <v>97</v>
      </c>
      <c r="B39" s="16">
        <v>2.0</v>
      </c>
      <c r="C39" s="16">
        <v>3.5</v>
      </c>
      <c r="D39" s="6"/>
      <c r="E39" s="17" t="s">
        <v>98</v>
      </c>
      <c r="F39" s="19" t="s">
        <v>99</v>
      </c>
      <c r="G39" s="17">
        <v>3.59</v>
      </c>
      <c r="H39" s="17" t="s">
        <v>100</v>
      </c>
      <c r="I39" s="18"/>
      <c r="J39" s="18"/>
    </row>
    <row r="40">
      <c r="A40" s="16" t="s">
        <v>101</v>
      </c>
      <c r="B40" s="16">
        <v>1.0</v>
      </c>
      <c r="C40" s="16">
        <v>9.5</v>
      </c>
      <c r="D40" s="6"/>
      <c r="E40" s="17" t="s">
        <v>98</v>
      </c>
      <c r="F40" s="19" t="s">
        <v>102</v>
      </c>
      <c r="G40" s="17">
        <v>6.85</v>
      </c>
      <c r="H40" s="17" t="s">
        <v>103</v>
      </c>
      <c r="I40" s="18"/>
      <c r="J40" s="18"/>
    </row>
    <row r="41">
      <c r="A41" s="6"/>
      <c r="B41" s="6"/>
      <c r="C41" s="6"/>
      <c r="D41" s="6"/>
      <c r="E41" s="17" t="s">
        <v>98</v>
      </c>
      <c r="F41" s="19" t="s">
        <v>104</v>
      </c>
      <c r="G41" s="17">
        <v>12.85</v>
      </c>
      <c r="H41" s="17" t="s">
        <v>105</v>
      </c>
      <c r="I41" s="18"/>
      <c r="J41" s="18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</sheetData>
  <mergeCells count="1">
    <mergeCell ref="E1:H1"/>
  </mergeCells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21"/>
    <hyperlink r:id="rId12" ref="C22"/>
    <hyperlink r:id="rId13" ref="C23"/>
    <hyperlink r:id="rId14" ref="C24"/>
    <hyperlink r:id="rId15" ref="C25"/>
    <hyperlink r:id="rId16" ref="C26"/>
    <hyperlink r:id="rId17" ref="C27"/>
    <hyperlink r:id="rId18" ref="C28"/>
    <hyperlink r:id="rId19" ref="C29"/>
    <hyperlink r:id="rId20" ref="C30"/>
    <hyperlink r:id="rId21" ref="C31"/>
    <hyperlink r:id="rId22" ref="F35"/>
    <hyperlink r:id="rId23" ref="F36"/>
    <hyperlink r:id="rId24" ref="F37"/>
    <hyperlink r:id="rId25" ref="F39"/>
    <hyperlink r:id="rId26" ref="F40"/>
    <hyperlink r:id="rId27" ref="F41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  <col customWidth="1" min="3" max="3" width="27.86"/>
  </cols>
  <sheetData>
    <row r="1">
      <c r="A1" s="1" t="s">
        <v>1</v>
      </c>
      <c r="B1" s="2"/>
      <c r="C1" s="2"/>
      <c r="D1" s="4"/>
      <c r="H1" s="2"/>
      <c r="I1" s="2"/>
      <c r="J1" s="2"/>
    </row>
    <row r="2">
      <c r="A2" s="5" t="s">
        <v>3</v>
      </c>
      <c r="B2" s="6"/>
      <c r="C2" s="5" t="s">
        <v>4</v>
      </c>
      <c r="D2" s="5">
        <v>48.0</v>
      </c>
      <c r="E2" s="6"/>
      <c r="F2" s="6"/>
      <c r="G2" s="6"/>
      <c r="H2" s="6"/>
      <c r="I2" s="6"/>
      <c r="J2" s="6"/>
    </row>
    <row r="3">
      <c r="A3" s="5" t="s">
        <v>3</v>
      </c>
      <c r="B3" s="6"/>
      <c r="C3" s="5" t="s">
        <v>6</v>
      </c>
      <c r="D3" s="5">
        <v>36.0</v>
      </c>
      <c r="E3" s="6"/>
      <c r="F3" s="6"/>
      <c r="G3" s="6"/>
      <c r="H3" s="6"/>
      <c r="I3" s="6"/>
      <c r="J3" s="6"/>
    </row>
    <row r="4">
      <c r="A4" s="5"/>
      <c r="B4" s="6"/>
      <c r="C4" s="5"/>
      <c r="D4" s="5"/>
      <c r="E4" s="5"/>
      <c r="F4" s="6"/>
      <c r="G4" s="6"/>
      <c r="H4" s="6"/>
      <c r="I4" s="6"/>
      <c r="J4" s="6"/>
    </row>
    <row r="5">
      <c r="A5" s="5" t="s">
        <v>8</v>
      </c>
      <c r="B5" s="6"/>
      <c r="C5" s="5"/>
      <c r="D5" s="5"/>
      <c r="E5" s="5"/>
      <c r="F5" s="5"/>
      <c r="G5" s="5"/>
      <c r="H5" s="6"/>
      <c r="I5" s="6"/>
      <c r="J5" s="6"/>
    </row>
    <row r="6">
      <c r="A6" s="7" t="s">
        <v>9</v>
      </c>
      <c r="B6" s="8"/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8"/>
      <c r="I6" s="8"/>
      <c r="J6" s="8"/>
    </row>
    <row r="7">
      <c r="A7" s="5" t="s">
        <v>15</v>
      </c>
      <c r="B7" s="6"/>
      <c r="C7" s="9" t="s">
        <v>16</v>
      </c>
      <c r="D7" s="5">
        <v>89.94</v>
      </c>
      <c r="E7" s="5">
        <v>1.0</v>
      </c>
      <c r="F7" s="6">
        <f>D7*E7</f>
        <v>89.94</v>
      </c>
      <c r="G7" s="5"/>
      <c r="H7" s="6"/>
      <c r="I7" s="6"/>
      <c r="J7" s="6"/>
    </row>
    <row r="8">
      <c r="A8" s="5" t="s">
        <v>18</v>
      </c>
      <c r="B8" s="6"/>
      <c r="C8" s="9" t="s">
        <v>19</v>
      </c>
      <c r="D8" s="5">
        <v>103.3</v>
      </c>
      <c r="E8" s="5"/>
      <c r="F8" s="6"/>
      <c r="G8" s="5" t="s">
        <v>21</v>
      </c>
      <c r="H8" s="6"/>
      <c r="I8" s="6"/>
      <c r="J8" s="6"/>
    </row>
    <row r="9">
      <c r="A9" s="12" t="s">
        <v>22</v>
      </c>
      <c r="B9" s="13"/>
      <c r="C9" s="15" t="s">
        <v>23</v>
      </c>
      <c r="D9" s="12">
        <v>6.58</v>
      </c>
      <c r="E9" s="12">
        <v>1.0</v>
      </c>
      <c r="F9" s="13">
        <f t="shared" ref="F9:F14" si="1">D9*E9</f>
        <v>6.58</v>
      </c>
      <c r="G9" s="12" t="s">
        <v>27</v>
      </c>
      <c r="H9" s="13"/>
      <c r="I9" s="13"/>
      <c r="J9" s="6"/>
    </row>
    <row r="10">
      <c r="A10" s="12" t="s">
        <v>28</v>
      </c>
      <c r="B10" s="13"/>
      <c r="C10" s="15" t="s">
        <v>29</v>
      </c>
      <c r="D10" s="12">
        <v>3.62</v>
      </c>
      <c r="E10" s="12">
        <v>1.0</v>
      </c>
      <c r="F10" s="13">
        <f t="shared" si="1"/>
        <v>3.62</v>
      </c>
      <c r="G10" s="5"/>
      <c r="H10" s="6"/>
      <c r="I10" s="6"/>
      <c r="J10" s="6"/>
    </row>
    <row r="11">
      <c r="A11" s="12" t="s">
        <v>30</v>
      </c>
      <c r="B11" s="13"/>
      <c r="C11" s="15" t="s">
        <v>31</v>
      </c>
      <c r="D11" s="12">
        <v>19.8</v>
      </c>
      <c r="E11" s="12">
        <v>1.0</v>
      </c>
      <c r="F11" s="13">
        <f t="shared" si="1"/>
        <v>19.8</v>
      </c>
      <c r="G11" s="5"/>
      <c r="H11" s="6"/>
      <c r="I11" s="6"/>
      <c r="J11" s="6"/>
    </row>
    <row r="12">
      <c r="A12" s="12" t="s">
        <v>33</v>
      </c>
      <c r="B12" s="13"/>
      <c r="C12" s="15" t="s">
        <v>34</v>
      </c>
      <c r="D12" s="12">
        <v>2.98</v>
      </c>
      <c r="E12" s="12">
        <v>2.0</v>
      </c>
      <c r="F12" s="13">
        <f t="shared" si="1"/>
        <v>5.96</v>
      </c>
      <c r="G12" s="5"/>
      <c r="H12" s="6"/>
      <c r="I12" s="6"/>
      <c r="J12" s="6"/>
    </row>
    <row r="13">
      <c r="A13" s="12" t="s">
        <v>35</v>
      </c>
      <c r="B13" s="13"/>
      <c r="C13" s="15" t="s">
        <v>36</v>
      </c>
      <c r="D13" s="12">
        <v>9.98</v>
      </c>
      <c r="E13" s="12">
        <v>1.0</v>
      </c>
      <c r="F13" s="13">
        <f t="shared" si="1"/>
        <v>9.98</v>
      </c>
      <c r="G13" s="5" t="s">
        <v>37</v>
      </c>
      <c r="H13" s="6"/>
      <c r="I13" s="6"/>
      <c r="J13" s="6"/>
    </row>
    <row r="14">
      <c r="A14" s="12" t="s">
        <v>38</v>
      </c>
      <c r="B14" s="13"/>
      <c r="C14" s="15" t="s">
        <v>39</v>
      </c>
      <c r="D14" s="12">
        <v>1.0</v>
      </c>
      <c r="E14" s="12">
        <v>2.59</v>
      </c>
      <c r="F14" s="13">
        <f t="shared" si="1"/>
        <v>2.59</v>
      </c>
      <c r="G14" s="5"/>
      <c r="H14" s="6"/>
      <c r="I14" s="6"/>
      <c r="J14" s="6"/>
    </row>
    <row r="15">
      <c r="A15" s="5"/>
      <c r="B15" s="6"/>
      <c r="C15" s="5"/>
      <c r="D15" s="5" t="s">
        <v>40</v>
      </c>
      <c r="E15" s="6"/>
      <c r="F15" s="5">
        <f>sum(F7:F14)</f>
        <v>138.47</v>
      </c>
      <c r="G15" s="5"/>
      <c r="H15" s="6"/>
      <c r="I15" s="6"/>
      <c r="J15" s="6"/>
    </row>
    <row r="16">
      <c r="A16" s="5"/>
      <c r="B16" s="6"/>
      <c r="C16" s="5"/>
      <c r="D16" s="5"/>
      <c r="E16" s="5"/>
      <c r="F16" s="5"/>
      <c r="G16" s="5"/>
      <c r="H16" s="6"/>
      <c r="I16" s="6"/>
      <c r="J16" s="6"/>
    </row>
    <row r="17">
      <c r="A17" s="7" t="s">
        <v>41</v>
      </c>
      <c r="B17" s="8"/>
      <c r="C17" s="7"/>
      <c r="D17" s="7"/>
      <c r="E17" s="7"/>
      <c r="F17" s="7"/>
      <c r="G17" s="7"/>
      <c r="H17" s="8"/>
      <c r="I17" s="8"/>
      <c r="J17" s="8"/>
    </row>
    <row r="18">
      <c r="A18" s="7" t="s">
        <v>9</v>
      </c>
      <c r="B18" s="8"/>
      <c r="C18" s="7" t="s">
        <v>10</v>
      </c>
      <c r="D18" s="7" t="s">
        <v>11</v>
      </c>
      <c r="E18" s="7" t="s">
        <v>12</v>
      </c>
      <c r="F18" s="7" t="s">
        <v>13</v>
      </c>
      <c r="G18" s="7" t="s">
        <v>14</v>
      </c>
      <c r="H18" s="8"/>
      <c r="I18" s="8"/>
      <c r="J18" s="8"/>
    </row>
    <row r="19">
      <c r="A19" s="5" t="s">
        <v>42</v>
      </c>
      <c r="B19" s="6"/>
      <c r="C19" s="9" t="s">
        <v>43</v>
      </c>
      <c r="D19" s="5">
        <v>79.99</v>
      </c>
      <c r="E19" s="5">
        <v>1.0</v>
      </c>
      <c r="F19" s="6">
        <f t="shared" ref="F19:F20" si="2">D19*E19</f>
        <v>79.99</v>
      </c>
      <c r="G19" s="6"/>
      <c r="H19" s="6"/>
      <c r="I19" s="6"/>
      <c r="J19" s="6"/>
    </row>
    <row r="20">
      <c r="A20" s="5" t="s">
        <v>46</v>
      </c>
      <c r="B20" s="6"/>
      <c r="C20" s="9" t="s">
        <v>47</v>
      </c>
      <c r="D20" s="5">
        <v>0.83</v>
      </c>
      <c r="E20" s="5">
        <v>2.0</v>
      </c>
      <c r="F20" s="6">
        <f t="shared" si="2"/>
        <v>1.66</v>
      </c>
      <c r="G20" s="6"/>
      <c r="H20" s="6"/>
      <c r="I20" s="6"/>
      <c r="J20" s="6"/>
    </row>
    <row r="21">
      <c r="A21" s="5" t="s">
        <v>48</v>
      </c>
      <c r="B21" s="6"/>
      <c r="C21" s="9" t="s">
        <v>49</v>
      </c>
      <c r="D21" s="5">
        <v>7.29</v>
      </c>
      <c r="E21" s="5">
        <v>2.0</v>
      </c>
      <c r="F21" s="6"/>
      <c r="G21" s="5" t="s">
        <v>52</v>
      </c>
      <c r="H21" s="6"/>
      <c r="I21" s="6"/>
      <c r="J21" s="6"/>
    </row>
    <row r="22">
      <c r="A22" s="5" t="s">
        <v>53</v>
      </c>
      <c r="B22" s="6"/>
      <c r="C22" s="9" t="s">
        <v>54</v>
      </c>
      <c r="D22" s="5">
        <v>0.27</v>
      </c>
      <c r="E22" s="5">
        <v>4.0</v>
      </c>
      <c r="F22" s="6">
        <f t="shared" ref="F22:F29" si="3">D22*E22</f>
        <v>1.08</v>
      </c>
      <c r="G22" s="6"/>
      <c r="H22" s="6"/>
      <c r="I22" s="6"/>
      <c r="J22" s="6"/>
    </row>
    <row r="23">
      <c r="A23" s="5" t="s">
        <v>55</v>
      </c>
      <c r="B23" s="6"/>
      <c r="C23" s="9" t="s">
        <v>56</v>
      </c>
      <c r="D23" s="5">
        <v>0.92</v>
      </c>
      <c r="E23" s="5">
        <v>4.0</v>
      </c>
      <c r="F23" s="6">
        <f t="shared" si="3"/>
        <v>3.68</v>
      </c>
      <c r="G23" s="6"/>
      <c r="H23" s="6"/>
      <c r="I23" s="6"/>
      <c r="J23" s="6"/>
    </row>
    <row r="24">
      <c r="A24" s="5" t="s">
        <v>57</v>
      </c>
      <c r="B24" s="6"/>
      <c r="C24" s="9" t="s">
        <v>58</v>
      </c>
      <c r="D24" s="5">
        <v>1.18</v>
      </c>
      <c r="E24" s="5">
        <v>2.0</v>
      </c>
      <c r="F24" s="6">
        <f t="shared" si="3"/>
        <v>2.36</v>
      </c>
      <c r="G24" s="6"/>
      <c r="H24" s="6"/>
      <c r="I24" s="6"/>
      <c r="J24" s="6"/>
    </row>
    <row r="25">
      <c r="A25" s="5" t="s">
        <v>59</v>
      </c>
      <c r="B25" s="6"/>
      <c r="C25" s="9" t="s">
        <v>60</v>
      </c>
      <c r="D25" s="5">
        <v>2.38</v>
      </c>
      <c r="E25" s="5">
        <v>4.0</v>
      </c>
      <c r="F25" s="6">
        <f t="shared" si="3"/>
        <v>9.52</v>
      </c>
      <c r="G25" s="6"/>
      <c r="H25" s="6"/>
      <c r="I25" s="6"/>
      <c r="J25" s="6"/>
    </row>
    <row r="26">
      <c r="A26" s="5" t="s">
        <v>62</v>
      </c>
      <c r="B26" s="6"/>
      <c r="C26" s="9" t="s">
        <v>63</v>
      </c>
      <c r="D26" s="5">
        <v>2.84</v>
      </c>
      <c r="E26" s="5">
        <v>2.0</v>
      </c>
      <c r="F26" s="6">
        <f t="shared" si="3"/>
        <v>5.68</v>
      </c>
      <c r="G26" s="6"/>
      <c r="H26" s="6"/>
      <c r="I26" s="6"/>
      <c r="J26" s="6"/>
    </row>
    <row r="27">
      <c r="A27" s="5" t="s">
        <v>66</v>
      </c>
      <c r="B27" s="6"/>
      <c r="C27" s="9" t="s">
        <v>67</v>
      </c>
      <c r="D27" s="5">
        <v>7.69</v>
      </c>
      <c r="E27" s="5">
        <v>1.0</v>
      </c>
      <c r="F27" s="6">
        <f t="shared" si="3"/>
        <v>7.69</v>
      </c>
      <c r="G27" s="6"/>
      <c r="H27" s="6"/>
      <c r="I27" s="6"/>
      <c r="J27" s="6"/>
    </row>
    <row r="28">
      <c r="A28" s="5" t="s">
        <v>64</v>
      </c>
      <c r="B28" s="6"/>
      <c r="C28" s="9" t="s">
        <v>69</v>
      </c>
      <c r="D28" s="5">
        <v>2.08</v>
      </c>
      <c r="E28" s="5">
        <v>1.0</v>
      </c>
      <c r="F28" s="6">
        <f t="shared" si="3"/>
        <v>2.08</v>
      </c>
      <c r="G28" s="6"/>
      <c r="H28" s="6"/>
      <c r="I28" s="6"/>
      <c r="J28" s="6"/>
    </row>
    <row r="29">
      <c r="A29" s="5" t="s">
        <v>74</v>
      </c>
      <c r="B29" s="6"/>
      <c r="C29" s="9" t="s">
        <v>75</v>
      </c>
      <c r="D29" s="5">
        <v>11.99</v>
      </c>
      <c r="E29" s="5">
        <v>1.0</v>
      </c>
      <c r="F29" s="6">
        <f t="shared" si="3"/>
        <v>11.99</v>
      </c>
      <c r="G29" s="5" t="s">
        <v>77</v>
      </c>
      <c r="H29" s="6"/>
      <c r="I29" s="6"/>
      <c r="J29" s="6"/>
    </row>
    <row r="30">
      <c r="A30" s="6"/>
      <c r="B30" s="6"/>
      <c r="C30" s="6"/>
      <c r="D30" s="6"/>
      <c r="E30" s="5" t="s">
        <v>76</v>
      </c>
      <c r="F30" s="6">
        <f>sum(F19:F29)</f>
        <v>125.73</v>
      </c>
      <c r="G30" s="6"/>
      <c r="H30" s="6"/>
      <c r="I30" s="6"/>
      <c r="J30" s="6"/>
    </row>
    <row r="31">
      <c r="A31" s="5"/>
      <c r="B31" s="5"/>
      <c r="C31" s="5"/>
      <c r="D31" s="6"/>
      <c r="E31" s="5"/>
      <c r="F31" s="6"/>
      <c r="G31" s="6"/>
      <c r="H31" s="6"/>
      <c r="I31" s="6"/>
      <c r="J31" s="6"/>
    </row>
    <row r="32">
      <c r="A32" s="5"/>
      <c r="B32" s="5"/>
      <c r="C32" s="5"/>
      <c r="D32" s="6"/>
      <c r="E32" s="5"/>
      <c r="F32" s="6"/>
      <c r="G32" s="6"/>
      <c r="H32" s="6"/>
      <c r="I32" s="6"/>
      <c r="J32" s="6"/>
    </row>
    <row r="33">
      <c r="A33" s="16" t="s">
        <v>79</v>
      </c>
      <c r="B33" s="16"/>
      <c r="C33" s="16"/>
      <c r="D33" s="6"/>
      <c r="E33" s="17" t="s">
        <v>80</v>
      </c>
      <c r="F33" s="18"/>
      <c r="G33" s="18"/>
      <c r="H33" s="18"/>
      <c r="I33" s="18"/>
      <c r="J33" s="18"/>
    </row>
    <row r="34">
      <c r="A34" s="16" t="s">
        <v>81</v>
      </c>
      <c r="B34" s="16" t="s">
        <v>82</v>
      </c>
      <c r="C34" s="16" t="s">
        <v>83</v>
      </c>
      <c r="D34" s="6"/>
      <c r="E34" s="17" t="s">
        <v>84</v>
      </c>
      <c r="F34" s="19" t="s">
        <v>85</v>
      </c>
      <c r="G34" s="17">
        <v>34.29</v>
      </c>
      <c r="H34" s="17" t="s">
        <v>86</v>
      </c>
      <c r="I34" s="18"/>
      <c r="J34" s="18"/>
    </row>
    <row r="35">
      <c r="A35" s="16" t="s">
        <v>87</v>
      </c>
      <c r="B35" s="16">
        <v>1.0</v>
      </c>
      <c r="C35" s="16">
        <v>19.0</v>
      </c>
      <c r="D35" s="6"/>
      <c r="E35" s="17" t="s">
        <v>88</v>
      </c>
      <c r="F35" s="19" t="s">
        <v>89</v>
      </c>
      <c r="G35" s="17">
        <v>15.99</v>
      </c>
      <c r="H35" s="17" t="s">
        <v>90</v>
      </c>
      <c r="I35" s="18"/>
      <c r="J35" s="18"/>
    </row>
    <row r="36">
      <c r="A36" s="16" t="s">
        <v>91</v>
      </c>
      <c r="B36" s="16">
        <v>1.0</v>
      </c>
      <c r="C36" s="16">
        <v>3.0</v>
      </c>
      <c r="D36" s="6"/>
      <c r="E36" s="17" t="s">
        <v>92</v>
      </c>
      <c r="F36" s="19" t="s">
        <v>93</v>
      </c>
      <c r="G36" s="17">
        <v>5.59</v>
      </c>
      <c r="H36" s="17" t="s">
        <v>94</v>
      </c>
      <c r="I36" s="18"/>
      <c r="J36" s="18"/>
    </row>
    <row r="37">
      <c r="A37" s="16" t="s">
        <v>95</v>
      </c>
      <c r="B37" s="16">
        <v>1.0</v>
      </c>
      <c r="C37" s="16">
        <v>30.0</v>
      </c>
      <c r="D37" s="6"/>
      <c r="E37" s="17" t="s">
        <v>96</v>
      </c>
      <c r="F37" s="18"/>
      <c r="G37" s="18"/>
      <c r="H37" s="18"/>
      <c r="I37" s="18"/>
      <c r="J37" s="18"/>
    </row>
    <row r="38">
      <c r="A38" s="16" t="s">
        <v>97</v>
      </c>
      <c r="B38" s="16">
        <v>4.0</v>
      </c>
      <c r="C38" s="16">
        <v>5.0</v>
      </c>
      <c r="D38" s="6"/>
      <c r="E38" s="17" t="s">
        <v>98</v>
      </c>
      <c r="F38" s="19" t="s">
        <v>99</v>
      </c>
      <c r="G38" s="17">
        <v>3.59</v>
      </c>
      <c r="H38" s="17" t="s">
        <v>100</v>
      </c>
      <c r="I38" s="18"/>
      <c r="J38" s="18"/>
    </row>
    <row r="39">
      <c r="A39" s="16" t="s">
        <v>101</v>
      </c>
      <c r="B39" s="16">
        <v>1.0</v>
      </c>
      <c r="C39" s="16">
        <v>18.0</v>
      </c>
      <c r="D39" s="6"/>
      <c r="E39" s="17" t="s">
        <v>98</v>
      </c>
      <c r="F39" s="19" t="s">
        <v>102</v>
      </c>
      <c r="G39" s="17">
        <v>6.85</v>
      </c>
      <c r="H39" s="17" t="s">
        <v>103</v>
      </c>
      <c r="I39" s="18"/>
      <c r="J39" s="18"/>
    </row>
    <row r="40">
      <c r="A40" s="5"/>
      <c r="B40" s="5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</sheetData>
  <mergeCells count="1">
    <mergeCell ref="D1:G1"/>
  </mergeCells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9"/>
    <hyperlink r:id="rId10" ref="C20"/>
    <hyperlink r:id="rId11" ref="C21"/>
    <hyperlink r:id="rId12" ref="C22"/>
    <hyperlink r:id="rId13" ref="C23"/>
    <hyperlink r:id="rId14" ref="C24"/>
    <hyperlink r:id="rId15" ref="C25"/>
    <hyperlink r:id="rId16" ref="C26"/>
    <hyperlink r:id="rId17" ref="C27"/>
    <hyperlink r:id="rId18" ref="C28"/>
    <hyperlink r:id="rId19" ref="C29"/>
    <hyperlink r:id="rId20" ref="F34"/>
    <hyperlink r:id="rId21" ref="F35"/>
    <hyperlink r:id="rId22" ref="F36"/>
    <hyperlink r:id="rId23" ref="F38"/>
    <hyperlink r:id="rId24" ref="F39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  <col customWidth="1" min="3" max="3" width="27.86"/>
  </cols>
  <sheetData>
    <row r="1">
      <c r="A1" s="1" t="s">
        <v>1</v>
      </c>
      <c r="B1" s="2"/>
      <c r="C1" s="2"/>
      <c r="D1" s="4"/>
      <c r="H1" s="2"/>
      <c r="I1" s="2"/>
      <c r="J1" s="2"/>
    </row>
    <row r="2">
      <c r="A2" s="5" t="s">
        <v>3</v>
      </c>
      <c r="B2" s="6"/>
      <c r="C2" s="5" t="s">
        <v>4</v>
      </c>
      <c r="D2" s="5">
        <v>48.0</v>
      </c>
      <c r="E2" s="6"/>
      <c r="F2" s="6"/>
      <c r="G2" s="6"/>
      <c r="H2" s="6"/>
      <c r="I2" s="6"/>
      <c r="J2" s="6"/>
    </row>
    <row r="3">
      <c r="A3" s="5" t="s">
        <v>3</v>
      </c>
      <c r="B3" s="6"/>
      <c r="C3" s="5" t="s">
        <v>6</v>
      </c>
      <c r="D3" s="5">
        <v>36.0</v>
      </c>
      <c r="E3" s="6"/>
      <c r="F3" s="6"/>
      <c r="G3" s="6"/>
      <c r="H3" s="6"/>
      <c r="I3" s="6"/>
      <c r="J3" s="6"/>
    </row>
    <row r="4">
      <c r="A4" s="5"/>
      <c r="B4" s="6"/>
      <c r="C4" s="5"/>
      <c r="D4" s="5"/>
      <c r="E4" s="5"/>
      <c r="F4" s="6"/>
      <c r="G4" s="6"/>
      <c r="H4" s="6"/>
      <c r="I4" s="6"/>
      <c r="J4" s="6"/>
    </row>
    <row r="5">
      <c r="A5" s="5" t="s">
        <v>8</v>
      </c>
      <c r="B5" s="6"/>
      <c r="C5" s="5"/>
      <c r="D5" s="5"/>
      <c r="E5" s="5"/>
      <c r="F5" s="5"/>
      <c r="G5" s="5"/>
      <c r="H5" s="6"/>
      <c r="I5" s="6"/>
      <c r="J5" s="6"/>
    </row>
    <row r="6">
      <c r="A6" s="7" t="s">
        <v>9</v>
      </c>
      <c r="B6" s="8"/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8"/>
      <c r="I6" s="8"/>
      <c r="J6" s="8"/>
    </row>
    <row r="7">
      <c r="A7" s="5" t="s">
        <v>15</v>
      </c>
      <c r="B7" s="6"/>
      <c r="C7" s="9" t="s">
        <v>16</v>
      </c>
      <c r="D7" s="5">
        <v>89.94</v>
      </c>
      <c r="E7" s="5">
        <v>1.0</v>
      </c>
      <c r="F7" s="6">
        <f>D7*E7</f>
        <v>89.94</v>
      </c>
      <c r="G7" s="5"/>
      <c r="H7" s="6"/>
      <c r="I7" s="6"/>
      <c r="J7" s="6"/>
    </row>
    <row r="8">
      <c r="A8" s="5" t="s">
        <v>18</v>
      </c>
      <c r="B8" s="6"/>
      <c r="C8" s="9" t="s">
        <v>19</v>
      </c>
      <c r="D8" s="5">
        <v>103.3</v>
      </c>
      <c r="E8" s="5"/>
      <c r="F8" s="6"/>
      <c r="G8" s="5" t="s">
        <v>21</v>
      </c>
      <c r="H8" s="6"/>
      <c r="I8" s="6"/>
      <c r="J8" s="6"/>
    </row>
    <row r="9">
      <c r="A9" s="12" t="s">
        <v>22</v>
      </c>
      <c r="B9" s="13"/>
      <c r="C9" s="15" t="s">
        <v>23</v>
      </c>
      <c r="D9" s="12">
        <v>6.58</v>
      </c>
      <c r="E9" s="12">
        <v>1.0</v>
      </c>
      <c r="F9" s="13">
        <f t="shared" ref="F9:F14" si="1">D9*E9</f>
        <v>6.58</v>
      </c>
      <c r="G9" s="12" t="s">
        <v>27</v>
      </c>
      <c r="H9" s="13"/>
      <c r="I9" s="13"/>
      <c r="J9" s="6"/>
    </row>
    <row r="10">
      <c r="A10" s="12" t="s">
        <v>28</v>
      </c>
      <c r="B10" s="13"/>
      <c r="C10" s="15" t="s">
        <v>29</v>
      </c>
      <c r="D10" s="12">
        <v>3.62</v>
      </c>
      <c r="E10" s="12">
        <v>1.0</v>
      </c>
      <c r="F10" s="13">
        <f t="shared" si="1"/>
        <v>3.62</v>
      </c>
      <c r="G10" s="5"/>
      <c r="H10" s="6"/>
      <c r="I10" s="6"/>
      <c r="J10" s="6"/>
    </row>
    <row r="11">
      <c r="A11" s="12" t="s">
        <v>30</v>
      </c>
      <c r="B11" s="13"/>
      <c r="C11" s="15" t="s">
        <v>31</v>
      </c>
      <c r="D11" s="12">
        <v>19.8</v>
      </c>
      <c r="E11" s="12">
        <v>1.0</v>
      </c>
      <c r="F11" s="13">
        <f t="shared" si="1"/>
        <v>19.8</v>
      </c>
      <c r="G11" s="5"/>
      <c r="H11" s="6"/>
      <c r="I11" s="6"/>
      <c r="J11" s="6"/>
    </row>
    <row r="12">
      <c r="A12" s="12" t="s">
        <v>33</v>
      </c>
      <c r="B12" s="13"/>
      <c r="C12" s="15" t="s">
        <v>34</v>
      </c>
      <c r="D12" s="12">
        <v>2.98</v>
      </c>
      <c r="E12" s="12">
        <v>2.0</v>
      </c>
      <c r="F12" s="13">
        <f t="shared" si="1"/>
        <v>5.96</v>
      </c>
      <c r="G12" s="5"/>
      <c r="H12" s="6"/>
      <c r="I12" s="6"/>
      <c r="J12" s="6"/>
    </row>
    <row r="13">
      <c r="A13" s="12" t="s">
        <v>35</v>
      </c>
      <c r="B13" s="13"/>
      <c r="C13" s="15" t="s">
        <v>36</v>
      </c>
      <c r="D13" s="12">
        <v>9.98</v>
      </c>
      <c r="E13" s="12">
        <v>1.0</v>
      </c>
      <c r="F13" s="13">
        <f t="shared" si="1"/>
        <v>9.98</v>
      </c>
      <c r="G13" s="5" t="s">
        <v>37</v>
      </c>
      <c r="H13" s="6"/>
      <c r="I13" s="6"/>
      <c r="J13" s="6"/>
    </row>
    <row r="14">
      <c r="A14" s="12" t="s">
        <v>38</v>
      </c>
      <c r="B14" s="13"/>
      <c r="C14" s="15" t="s">
        <v>39</v>
      </c>
      <c r="D14" s="12">
        <v>1.0</v>
      </c>
      <c r="E14" s="12">
        <v>2.59</v>
      </c>
      <c r="F14" s="13">
        <f t="shared" si="1"/>
        <v>2.59</v>
      </c>
      <c r="G14" s="5"/>
      <c r="H14" s="6"/>
      <c r="I14" s="6"/>
      <c r="J14" s="6"/>
    </row>
    <row r="15">
      <c r="A15" s="5"/>
      <c r="B15" s="6"/>
      <c r="C15" s="5"/>
      <c r="D15" s="5" t="s">
        <v>40</v>
      </c>
      <c r="E15" s="6"/>
      <c r="F15" s="5">
        <f>sum(F7:F14)</f>
        <v>138.47</v>
      </c>
      <c r="G15" s="5"/>
      <c r="H15" s="6"/>
      <c r="I15" s="6"/>
      <c r="J15" s="6"/>
    </row>
    <row r="16">
      <c r="A16" s="5"/>
      <c r="B16" s="6"/>
      <c r="C16" s="5"/>
      <c r="D16" s="5"/>
      <c r="E16" s="5"/>
      <c r="F16" s="5"/>
      <c r="G16" s="5"/>
      <c r="H16" s="6"/>
      <c r="I16" s="6"/>
      <c r="J16" s="6"/>
    </row>
    <row r="17">
      <c r="A17" s="7" t="s">
        <v>41</v>
      </c>
      <c r="B17" s="8"/>
      <c r="C17" s="7"/>
      <c r="D17" s="7"/>
      <c r="E17" s="7"/>
      <c r="F17" s="7"/>
      <c r="G17" s="7"/>
      <c r="H17" s="8"/>
      <c r="I17" s="8"/>
      <c r="J17" s="8"/>
    </row>
    <row r="18">
      <c r="A18" s="7" t="s">
        <v>9</v>
      </c>
      <c r="B18" s="8"/>
      <c r="C18" s="7" t="s">
        <v>10</v>
      </c>
      <c r="D18" s="7" t="s">
        <v>11</v>
      </c>
      <c r="E18" s="7" t="s">
        <v>12</v>
      </c>
      <c r="F18" s="7" t="s">
        <v>13</v>
      </c>
      <c r="G18" s="7" t="s">
        <v>14</v>
      </c>
      <c r="H18" s="8"/>
      <c r="I18" s="8"/>
      <c r="J18" s="8"/>
    </row>
    <row r="19">
      <c r="A19" s="5" t="s">
        <v>42</v>
      </c>
      <c r="B19" s="6"/>
      <c r="C19" s="9" t="s">
        <v>43</v>
      </c>
      <c r="D19" s="5">
        <v>79.99</v>
      </c>
      <c r="E19" s="5">
        <v>1.0</v>
      </c>
      <c r="F19" s="6">
        <f t="shared" ref="F19:F20" si="2">D19*E19</f>
        <v>79.99</v>
      </c>
      <c r="G19" s="6"/>
      <c r="H19" s="6"/>
      <c r="I19" s="6"/>
      <c r="J19" s="6"/>
    </row>
    <row r="20">
      <c r="A20" s="5" t="s">
        <v>46</v>
      </c>
      <c r="B20" s="6"/>
      <c r="C20" s="9" t="s">
        <v>47</v>
      </c>
      <c r="D20" s="5">
        <v>0.83</v>
      </c>
      <c r="E20" s="5">
        <v>2.0</v>
      </c>
      <c r="F20" s="6">
        <f t="shared" si="2"/>
        <v>1.66</v>
      </c>
      <c r="G20" s="6"/>
      <c r="H20" s="6"/>
      <c r="I20" s="6"/>
      <c r="J20" s="6"/>
    </row>
    <row r="21">
      <c r="A21" s="5" t="s">
        <v>48</v>
      </c>
      <c r="B21" s="6"/>
      <c r="C21" s="9" t="s">
        <v>49</v>
      </c>
      <c r="D21" s="5">
        <v>7.29</v>
      </c>
      <c r="E21" s="5">
        <v>2.0</v>
      </c>
      <c r="F21" s="6"/>
      <c r="G21" s="5" t="s">
        <v>52</v>
      </c>
      <c r="H21" s="6"/>
      <c r="I21" s="6"/>
      <c r="J21" s="6"/>
    </row>
    <row r="22">
      <c r="A22" s="5" t="s">
        <v>53</v>
      </c>
      <c r="B22" s="6"/>
      <c r="C22" s="9" t="s">
        <v>54</v>
      </c>
      <c r="D22" s="5">
        <v>0.27</v>
      </c>
      <c r="E22" s="5">
        <v>4.0</v>
      </c>
      <c r="F22" s="6">
        <f t="shared" ref="F22:F29" si="3">D22*E22</f>
        <v>1.08</v>
      </c>
      <c r="G22" s="6"/>
      <c r="H22" s="6"/>
      <c r="I22" s="6"/>
      <c r="J22" s="6"/>
    </row>
    <row r="23">
      <c r="A23" s="5" t="s">
        <v>55</v>
      </c>
      <c r="B23" s="6"/>
      <c r="C23" s="9" t="s">
        <v>56</v>
      </c>
      <c r="D23" s="5">
        <v>0.92</v>
      </c>
      <c r="E23" s="5">
        <v>4.0</v>
      </c>
      <c r="F23" s="6">
        <f t="shared" si="3"/>
        <v>3.68</v>
      </c>
      <c r="G23" s="6"/>
      <c r="H23" s="6"/>
      <c r="I23" s="6"/>
      <c r="J23" s="6"/>
    </row>
    <row r="24">
      <c r="A24" s="5" t="s">
        <v>57</v>
      </c>
      <c r="B24" s="6"/>
      <c r="C24" s="9" t="s">
        <v>58</v>
      </c>
      <c r="D24" s="5">
        <v>1.18</v>
      </c>
      <c r="E24" s="5">
        <v>2.0</v>
      </c>
      <c r="F24" s="6">
        <f t="shared" si="3"/>
        <v>2.36</v>
      </c>
      <c r="G24" s="6"/>
      <c r="H24" s="6"/>
      <c r="I24" s="6"/>
      <c r="J24" s="6"/>
    </row>
    <row r="25">
      <c r="A25" s="5" t="s">
        <v>59</v>
      </c>
      <c r="B25" s="6"/>
      <c r="C25" s="9" t="s">
        <v>60</v>
      </c>
      <c r="D25" s="5">
        <v>2.38</v>
      </c>
      <c r="E25" s="5">
        <v>4.0</v>
      </c>
      <c r="F25" s="6">
        <f t="shared" si="3"/>
        <v>9.52</v>
      </c>
      <c r="G25" s="6"/>
      <c r="H25" s="6"/>
      <c r="I25" s="6"/>
      <c r="J25" s="6"/>
    </row>
    <row r="26">
      <c r="A26" s="5" t="s">
        <v>62</v>
      </c>
      <c r="B26" s="6"/>
      <c r="C26" s="9" t="s">
        <v>63</v>
      </c>
      <c r="D26" s="5">
        <v>2.84</v>
      </c>
      <c r="E26" s="5">
        <v>2.0</v>
      </c>
      <c r="F26" s="6">
        <f t="shared" si="3"/>
        <v>5.68</v>
      </c>
      <c r="G26" s="6"/>
      <c r="H26" s="6"/>
      <c r="I26" s="6"/>
      <c r="J26" s="6"/>
    </row>
    <row r="27">
      <c r="A27" s="5" t="s">
        <v>66</v>
      </c>
      <c r="B27" s="6"/>
      <c r="C27" s="9" t="s">
        <v>67</v>
      </c>
      <c r="D27" s="5">
        <v>7.69</v>
      </c>
      <c r="E27" s="5">
        <v>1.0</v>
      </c>
      <c r="F27" s="6">
        <f t="shared" si="3"/>
        <v>7.69</v>
      </c>
      <c r="G27" s="6"/>
      <c r="H27" s="6"/>
      <c r="I27" s="6"/>
      <c r="J27" s="6"/>
    </row>
    <row r="28">
      <c r="A28" s="5" t="s">
        <v>64</v>
      </c>
      <c r="B28" s="6"/>
      <c r="C28" s="9" t="s">
        <v>69</v>
      </c>
      <c r="D28" s="5">
        <v>2.08</v>
      </c>
      <c r="E28" s="5">
        <v>1.0</v>
      </c>
      <c r="F28" s="6">
        <f t="shared" si="3"/>
        <v>2.08</v>
      </c>
      <c r="G28" s="6"/>
      <c r="H28" s="6"/>
      <c r="I28" s="6"/>
      <c r="J28" s="6"/>
    </row>
    <row r="29">
      <c r="A29" s="5" t="s">
        <v>74</v>
      </c>
      <c r="B29" s="6"/>
      <c r="C29" s="9" t="s">
        <v>75</v>
      </c>
      <c r="D29" s="5">
        <v>11.99</v>
      </c>
      <c r="E29" s="5">
        <v>1.0</v>
      </c>
      <c r="F29" s="6">
        <f t="shared" si="3"/>
        <v>11.99</v>
      </c>
      <c r="G29" s="5" t="s">
        <v>77</v>
      </c>
      <c r="H29" s="6"/>
      <c r="I29" s="6"/>
      <c r="J29" s="6"/>
    </row>
    <row r="30">
      <c r="A30" s="6"/>
      <c r="B30" s="6"/>
      <c r="C30" s="6"/>
      <c r="D30" s="6"/>
      <c r="E30" s="5" t="s">
        <v>76</v>
      </c>
      <c r="F30" s="6">
        <f>sum(F19:F29)</f>
        <v>125.73</v>
      </c>
      <c r="G30" s="6"/>
      <c r="H30" s="6"/>
      <c r="I30" s="6"/>
      <c r="J30" s="6"/>
    </row>
    <row r="31">
      <c r="A31" s="5"/>
      <c r="B31" s="5"/>
      <c r="C31" s="5"/>
      <c r="D31" s="6"/>
      <c r="E31" s="5"/>
      <c r="F31" s="6"/>
      <c r="G31" s="6"/>
      <c r="H31" s="6"/>
      <c r="I31" s="6"/>
      <c r="J31" s="6"/>
    </row>
    <row r="32">
      <c r="A32" s="5"/>
      <c r="B32" s="5"/>
      <c r="C32" s="5"/>
      <c r="D32" s="6"/>
      <c r="E32" s="5"/>
      <c r="F32" s="6"/>
      <c r="G32" s="6"/>
      <c r="H32" s="6"/>
      <c r="I32" s="6"/>
      <c r="J32" s="6"/>
    </row>
    <row r="33">
      <c r="A33" s="16" t="s">
        <v>79</v>
      </c>
      <c r="B33" s="16"/>
      <c r="C33" s="16"/>
      <c r="D33" s="6"/>
      <c r="E33" s="17" t="s">
        <v>80</v>
      </c>
      <c r="F33" s="18"/>
      <c r="G33" s="18"/>
      <c r="H33" s="18"/>
      <c r="I33" s="18"/>
      <c r="J33" s="18"/>
    </row>
    <row r="34">
      <c r="A34" s="16" t="s">
        <v>81</v>
      </c>
      <c r="B34" s="16" t="s">
        <v>82</v>
      </c>
      <c r="C34" s="16" t="s">
        <v>83</v>
      </c>
      <c r="D34" s="6"/>
      <c r="E34" s="17" t="s">
        <v>84</v>
      </c>
      <c r="F34" s="19" t="s">
        <v>85</v>
      </c>
      <c r="G34" s="17">
        <v>34.29</v>
      </c>
      <c r="H34" s="17" t="s">
        <v>86</v>
      </c>
      <c r="I34" s="18"/>
      <c r="J34" s="18"/>
    </row>
    <row r="35">
      <c r="A35" s="16" t="s">
        <v>87</v>
      </c>
      <c r="B35" s="16">
        <v>1.0</v>
      </c>
      <c r="C35" s="16">
        <v>20.0</v>
      </c>
      <c r="D35" s="6"/>
      <c r="E35" s="17" t="s">
        <v>88</v>
      </c>
      <c r="F35" s="19" t="s">
        <v>89</v>
      </c>
      <c r="G35" s="17">
        <v>15.99</v>
      </c>
      <c r="H35" s="17" t="s">
        <v>90</v>
      </c>
      <c r="I35" s="18"/>
      <c r="J35" s="18"/>
    </row>
    <row r="36">
      <c r="A36" s="16" t="s">
        <v>91</v>
      </c>
      <c r="B36" s="16">
        <v>1.0</v>
      </c>
      <c r="C36" s="16">
        <v>3.0</v>
      </c>
      <c r="D36" s="6"/>
      <c r="E36" s="17" t="s">
        <v>92</v>
      </c>
      <c r="F36" s="19" t="s">
        <v>93</v>
      </c>
      <c r="G36" s="17">
        <v>5.59</v>
      </c>
      <c r="H36" s="17" t="s">
        <v>94</v>
      </c>
      <c r="I36" s="18"/>
      <c r="J36" s="18"/>
    </row>
    <row r="37">
      <c r="A37" s="16" t="s">
        <v>95</v>
      </c>
      <c r="B37" s="16">
        <v>1.0</v>
      </c>
      <c r="C37" s="16">
        <v>34.0</v>
      </c>
      <c r="D37" s="6"/>
      <c r="E37" s="17" t="s">
        <v>96</v>
      </c>
      <c r="F37" s="18"/>
      <c r="G37" s="18"/>
      <c r="H37" s="18"/>
      <c r="I37" s="18"/>
      <c r="J37" s="18"/>
    </row>
    <row r="38">
      <c r="A38" s="16" t="s">
        <v>97</v>
      </c>
      <c r="B38" s="16">
        <v>4.0</v>
      </c>
      <c r="C38" s="16">
        <v>6.5</v>
      </c>
      <c r="D38" s="6"/>
      <c r="E38" s="17" t="s">
        <v>98</v>
      </c>
      <c r="F38" s="19" t="s">
        <v>99</v>
      </c>
      <c r="G38" s="17">
        <v>3.59</v>
      </c>
      <c r="H38" s="17" t="s">
        <v>100</v>
      </c>
      <c r="I38" s="18"/>
      <c r="J38" s="18"/>
    </row>
    <row r="39">
      <c r="A39" s="16" t="s">
        <v>101</v>
      </c>
      <c r="B39" s="16">
        <v>1.0</v>
      </c>
      <c r="C39" s="16">
        <v>19.0</v>
      </c>
      <c r="D39" s="6"/>
      <c r="E39" s="17" t="s">
        <v>98</v>
      </c>
      <c r="F39" s="19" t="s">
        <v>102</v>
      </c>
      <c r="G39" s="17">
        <v>6.85</v>
      </c>
      <c r="H39" s="17" t="s">
        <v>103</v>
      </c>
      <c r="I39" s="18"/>
      <c r="J39" s="18"/>
    </row>
    <row r="40">
      <c r="A40" s="5"/>
      <c r="B40" s="5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</sheetData>
  <mergeCells count="1">
    <mergeCell ref="D1:G1"/>
  </mergeCells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9"/>
    <hyperlink r:id="rId10" ref="C20"/>
    <hyperlink r:id="rId11" ref="C21"/>
    <hyperlink r:id="rId12" ref="C22"/>
    <hyperlink r:id="rId13" ref="C23"/>
    <hyperlink r:id="rId14" ref="C24"/>
    <hyperlink r:id="rId15" ref="C25"/>
    <hyperlink r:id="rId16" ref="C26"/>
    <hyperlink r:id="rId17" ref="C27"/>
    <hyperlink r:id="rId18" ref="C28"/>
    <hyperlink r:id="rId19" ref="C29"/>
    <hyperlink r:id="rId20" ref="F34"/>
    <hyperlink r:id="rId21" ref="F35"/>
    <hyperlink r:id="rId22" ref="F36"/>
    <hyperlink r:id="rId23" ref="F38"/>
    <hyperlink r:id="rId24" ref="F39"/>
  </hyperlinks>
  <drawing r:id="rId25"/>
</worksheet>
</file>