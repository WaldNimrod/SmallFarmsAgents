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idane\Dropbox\תיקיות משותפות\תיקיית קורס חקלאות אקולוגית\מפת חלקה וטבלאות תכנון\"/>
    </mc:Choice>
  </mc:AlternateContent>
  <bookViews>
    <workbookView xWindow="360" yWindow="135" windowWidth="13395" windowHeight="7485"/>
  </bookViews>
  <sheets>
    <sheet name="תוכנית גידול" sheetId="1" r:id="rId1"/>
  </sheets>
  <calcPr calcId="152511"/>
</workbook>
</file>

<file path=xl/calcChain.xml><?xml version="1.0" encoding="utf-8"?>
<calcChain xmlns="http://schemas.openxmlformats.org/spreadsheetml/2006/main">
  <c r="L138" i="1" l="1"/>
  <c r="O138" i="1" s="1"/>
  <c r="P138" i="1" s="1"/>
  <c r="K138" i="1"/>
  <c r="M62" i="1" l="1"/>
  <c r="L62" i="1"/>
  <c r="K62" i="1"/>
  <c r="L53" i="1"/>
  <c r="L54" i="1"/>
  <c r="M53" i="1"/>
  <c r="K53" i="1"/>
  <c r="M76" i="1" l="1"/>
  <c r="M77" i="1"/>
  <c r="M78" i="1"/>
  <c r="M79" i="1"/>
  <c r="M80" i="1"/>
  <c r="M81" i="1"/>
  <c r="M82" i="1"/>
  <c r="M83" i="1"/>
  <c r="M75" i="1"/>
  <c r="K14" i="1"/>
  <c r="K16" i="1"/>
  <c r="M16" i="1" s="1"/>
  <c r="L14" i="1" l="1"/>
  <c r="L16" i="1"/>
  <c r="L147" i="1" l="1"/>
  <c r="O147" i="1" s="1"/>
  <c r="P147" i="1" s="1"/>
  <c r="K147" i="1"/>
  <c r="K141" i="1"/>
  <c r="L141" i="1" s="1"/>
  <c r="K112" i="1"/>
  <c r="L112" i="1" s="1"/>
  <c r="M112" i="1" l="1"/>
  <c r="K100" i="1"/>
  <c r="L100" i="1" s="1"/>
  <c r="K85" i="1"/>
  <c r="M85" i="1" s="1"/>
  <c r="K84" i="1"/>
  <c r="K81" i="1"/>
  <c r="M35" i="1"/>
  <c r="K77" i="1"/>
  <c r="L84" i="1" l="1"/>
  <c r="M84" i="1"/>
  <c r="L85" i="1"/>
  <c r="L81" i="1"/>
  <c r="L77" i="1"/>
  <c r="M52" i="1"/>
  <c r="K52" i="1"/>
  <c r="L52" i="1" s="1"/>
  <c r="M22" i="1"/>
  <c r="M21" i="1"/>
  <c r="L129" i="1" l="1"/>
  <c r="O129" i="1" s="1"/>
  <c r="P129" i="1" s="1"/>
  <c r="K129" i="1"/>
  <c r="K120" i="1"/>
  <c r="K117" i="1"/>
  <c r="L117" i="1" s="1"/>
  <c r="K114" i="1"/>
  <c r="K111" i="1"/>
  <c r="L108" i="1"/>
  <c r="O108" i="1" s="1"/>
  <c r="P108" i="1" s="1"/>
  <c r="K108" i="1"/>
  <c r="K105" i="1"/>
  <c r="L105" i="1" s="1"/>
  <c r="K69" i="1"/>
  <c r="L69" i="1" s="1"/>
  <c r="L111" i="1" l="1"/>
  <c r="M111" i="1"/>
  <c r="L114" i="1" s="1"/>
  <c r="O114" i="1" s="1"/>
  <c r="P114" i="1" s="1"/>
  <c r="M117" i="1"/>
  <c r="L120" i="1" s="1"/>
  <c r="O120" i="1" s="1"/>
  <c r="P120" i="1" s="1"/>
  <c r="M4" i="1"/>
  <c r="L102" i="1" l="1"/>
  <c r="O102" i="1" s="1"/>
  <c r="P102" i="1" s="1"/>
  <c r="K102" i="1"/>
  <c r="O89" i="1"/>
  <c r="K86" i="1"/>
  <c r="M86" i="1" s="1"/>
  <c r="K82" i="1"/>
  <c r="K83" i="1"/>
  <c r="K80" i="1"/>
  <c r="L80" i="1" s="1"/>
  <c r="K98" i="1"/>
  <c r="L98" i="1" s="1"/>
  <c r="K92" i="1"/>
  <c r="M92" i="1" s="1"/>
  <c r="L95" i="1" s="1"/>
  <c r="O95" i="1" s="1"/>
  <c r="P95" i="1" s="1"/>
  <c r="K95" i="1"/>
  <c r="M60" i="1"/>
  <c r="K60" i="1"/>
  <c r="L60" i="1" s="1"/>
  <c r="M43" i="1"/>
  <c r="K29" i="1"/>
  <c r="L29" i="1" s="1"/>
  <c r="M29" i="1"/>
  <c r="K15" i="1"/>
  <c r="M15" i="1" s="1"/>
  <c r="K22" i="1"/>
  <c r="M42" i="1"/>
  <c r="L47" i="1" l="1"/>
  <c r="L92" i="1"/>
  <c r="L86" i="1"/>
  <c r="L83" i="1"/>
  <c r="L82" i="1"/>
  <c r="L15" i="1"/>
  <c r="L72" i="1" l="1"/>
  <c r="K79" i="1" l="1"/>
  <c r="K78" i="1"/>
  <c r="K76" i="1"/>
  <c r="K75" i="1"/>
  <c r="K89" i="1"/>
  <c r="M63" i="1"/>
  <c r="M61" i="1"/>
  <c r="M59" i="1"/>
  <c r="L65" i="1" s="1"/>
  <c r="O65" i="1" s="1"/>
  <c r="P65" i="1" s="1"/>
  <c r="K63" i="1"/>
  <c r="L63" i="1" s="1"/>
  <c r="K61" i="1"/>
  <c r="L61" i="1" s="1"/>
  <c r="K65" i="1"/>
  <c r="K18" i="1"/>
  <c r="K56" i="1"/>
  <c r="M54" i="1"/>
  <c r="K54" i="1"/>
  <c r="M51" i="1"/>
  <c r="K51" i="1"/>
  <c r="L51" i="1" s="1"/>
  <c r="M50" i="1"/>
  <c r="L56" i="1" s="1"/>
  <c r="O56" i="1" s="1"/>
  <c r="P56" i="1" s="1"/>
  <c r="K47" i="1"/>
  <c r="K43" i="1"/>
  <c r="L43" i="1" s="1"/>
  <c r="K39" i="1"/>
  <c r="M28" i="1"/>
  <c r="K25" i="1"/>
  <c r="K13" i="1"/>
  <c r="M13" i="1" s="1"/>
  <c r="K4" i="1"/>
  <c r="M3" i="1"/>
  <c r="P9" i="1" s="1"/>
  <c r="O72" i="1"/>
  <c r="P72" i="1" s="1"/>
  <c r="K72" i="1"/>
  <c r="K68" i="1"/>
  <c r="L68" i="1" s="1"/>
  <c r="K59" i="1"/>
  <c r="L59" i="1" s="1"/>
  <c r="K50" i="1"/>
  <c r="L50" i="1" s="1"/>
  <c r="O47" i="1"/>
  <c r="P47" i="1" s="1"/>
  <c r="K42" i="1"/>
  <c r="L42" i="1" s="1"/>
  <c r="L39" i="1"/>
  <c r="O39" i="1" s="1"/>
  <c r="P39" i="1" s="1"/>
  <c r="K35" i="1"/>
  <c r="L35" i="1" s="1"/>
  <c r="K32" i="1"/>
  <c r="K28" i="1"/>
  <c r="L28" i="1" s="1"/>
  <c r="K21" i="1"/>
  <c r="K12" i="1"/>
  <c r="K3" i="1"/>
  <c r="L3" i="1" s="1"/>
  <c r="A150" i="1" l="1"/>
  <c r="L76" i="1"/>
  <c r="L78" i="1"/>
  <c r="L79" i="1"/>
  <c r="L75" i="1"/>
  <c r="P89" i="1"/>
  <c r="L13" i="1"/>
  <c r="L32" i="1"/>
  <c r="O32" i="1" s="1"/>
  <c r="P32" i="1" s="1"/>
  <c r="M12" i="1"/>
  <c r="L12" i="1"/>
  <c r="L25" i="1"/>
  <c r="O25" i="1" s="1"/>
  <c r="P25" i="1" s="1"/>
  <c r="O9" i="1"/>
  <c r="L18" i="1" l="1"/>
  <c r="O18" i="1" s="1"/>
  <c r="P18" i="1" s="1"/>
</calcChain>
</file>

<file path=xl/sharedStrings.xml><?xml version="1.0" encoding="utf-8"?>
<sst xmlns="http://schemas.openxmlformats.org/spreadsheetml/2006/main" count="683" uniqueCount="220">
  <si>
    <t>גידול</t>
  </si>
  <si>
    <t>זן</t>
  </si>
  <si>
    <t>שטח לזריעה (מ"ר)</t>
  </si>
  <si>
    <t>מספר צמחים למ"ר</t>
  </si>
  <si>
    <t>מספר צמחים כולל</t>
  </si>
  <si>
    <t>תאריך התחלת אסיף</t>
  </si>
  <si>
    <t>תאריך סיום אסיף</t>
  </si>
  <si>
    <t>סיכום</t>
  </si>
  <si>
    <t>זמינות הירק לקטיף</t>
  </si>
  <si>
    <t>הערות</t>
  </si>
  <si>
    <t>שטח גידול</t>
  </si>
  <si>
    <t>מחיר לקילו</t>
  </si>
  <si>
    <t>סה"כ לחודש</t>
  </si>
  <si>
    <t>תאריך שתילה</t>
  </si>
  <si>
    <t>כמות (קילו)</t>
  </si>
  <si>
    <t>כמות בחודש</t>
  </si>
  <si>
    <t>עגבנית צ'רי</t>
  </si>
  <si>
    <t>פלפל</t>
  </si>
  <si>
    <t>חציל</t>
  </si>
  <si>
    <t>בזיל</t>
  </si>
  <si>
    <t>קישוא</t>
  </si>
  <si>
    <t>דלורית</t>
  </si>
  <si>
    <t>שעועית</t>
  </si>
  <si>
    <t>סימון ארוגה</t>
  </si>
  <si>
    <t>תירס</t>
  </si>
  <si>
    <t>מספר שתילים</t>
  </si>
  <si>
    <t>כמות סה"כ(קילו)</t>
  </si>
  <si>
    <t>כמות (צרור)</t>
  </si>
  <si>
    <t>מחיר לצרור</t>
  </si>
  <si>
    <t>סה"כ לתקופה</t>
  </si>
  <si>
    <t>לתקופה</t>
  </si>
  <si>
    <t>משתילה לקטיף</t>
  </si>
  <si>
    <t>75 יום</t>
  </si>
  <si>
    <t>3-5 חודשים</t>
  </si>
  <si>
    <t>משך קטיף</t>
  </si>
  <si>
    <t>90 יום</t>
  </si>
  <si>
    <t>חודש</t>
  </si>
  <si>
    <t>עד 5 חודשים</t>
  </si>
  <si>
    <t>60 יום</t>
  </si>
  <si>
    <t>עד 6 חודשים</t>
  </si>
  <si>
    <t>מרוכז. ניתן לאחסון.</t>
  </si>
  <si>
    <t>חודש-חודשיים</t>
  </si>
  <si>
    <t>40 יום</t>
  </si>
  <si>
    <t>סה"כ שטח גידול</t>
  </si>
  <si>
    <t>80 יום</t>
  </si>
  <si>
    <t>באזור אוקטובר</t>
  </si>
  <si>
    <t>תאילנדית</t>
  </si>
  <si>
    <t>במיה</t>
  </si>
  <si>
    <t>מנגולד</t>
  </si>
  <si>
    <t>פקוס</t>
  </si>
  <si>
    <t>וולטהם</t>
  </si>
  <si>
    <t>6.3.2017</t>
  </si>
  <si>
    <t>מספר זרעים</t>
  </si>
  <si>
    <t>ערמונים</t>
  </si>
  <si>
    <t>כמות (פירות)</t>
  </si>
  <si>
    <t xml:space="preserve">ממוצע ייבול 2.8 ק"ג/מ"ר לחודש בתנאים אופטימליים. ליתר בטחון נחשב לפי 2 ק"ג/מ"ר/חודש (70% ייבול). ייבול בחממה 7 חודשים. צפי לייבול במשך שלושה חודשים בתנאי שדה. כמות דרושה  - 2 קילו/חודש/משפחה, לפי 13 משפחות - יש לשתול 13 מטר. יש לרכוש 100 זרעים. נימקס נימגרד פרוביט פעם בשבוע. גיזום עלים מתחת לפרי. </t>
  </si>
  <si>
    <t>13.3.2017</t>
  </si>
  <si>
    <t>מז5</t>
  </si>
  <si>
    <t>מז9</t>
  </si>
  <si>
    <t>מז4</t>
  </si>
  <si>
    <t>6.4.2017</t>
  </si>
  <si>
    <t>מז6</t>
  </si>
  <si>
    <t>מז15</t>
  </si>
  <si>
    <t>יוני-ספט'</t>
  </si>
  <si>
    <t>מאי-אוק'</t>
  </si>
  <si>
    <t>10.4.2017</t>
  </si>
  <si>
    <t>ייבול ממוצע 1.5 ק"ג/מטר/חודש. נתכנן לכל משפחה 4 ק"ג/חודש. צריך לייצר 52 ק"ג בחודש, צריך לגדל 35 מטר. אפשר לגדל 2 שורות בארוגה.</t>
  </si>
  <si>
    <t>מכלוא</t>
  </si>
  <si>
    <t>מורשת</t>
  </si>
  <si>
    <t>מז10</t>
  </si>
  <si>
    <t>מע1, מע2</t>
  </si>
  <si>
    <t>מע3</t>
  </si>
  <si>
    <t>כמות כללית</t>
  </si>
  <si>
    <t xml:space="preserve">מלפפון </t>
  </si>
  <si>
    <t>מע9</t>
  </si>
  <si>
    <t>1.5.2017</t>
  </si>
  <si>
    <t>מאי-אוג'</t>
  </si>
  <si>
    <t>יוני-דצמ'</t>
  </si>
  <si>
    <t>super sweet</t>
  </si>
  <si>
    <t>מאי-ספט'</t>
  </si>
  <si>
    <t>יוני-אוקטובר</t>
  </si>
  <si>
    <t>יוני - דצמ'</t>
  </si>
  <si>
    <t>יולי-נוב'</t>
  </si>
  <si>
    <t>45 יום</t>
  </si>
  <si>
    <t>4-5 חודשים</t>
  </si>
  <si>
    <t>יולי-דצמ'</t>
  </si>
  <si>
    <t>מע6</t>
  </si>
  <si>
    <t>מע7</t>
  </si>
  <si>
    <t>מע8</t>
  </si>
  <si>
    <t>מע10</t>
  </si>
  <si>
    <t>כמות (קלחים)</t>
  </si>
  <si>
    <t>8.2017</t>
  </si>
  <si>
    <t>9.2017</t>
  </si>
  <si>
    <t>10.2017</t>
  </si>
  <si>
    <t>מז18, מז19</t>
  </si>
  <si>
    <t>3 שורות בערוגה</t>
  </si>
  <si>
    <t>שנה</t>
  </si>
  <si>
    <t>ממאי</t>
  </si>
  <si>
    <t>20.3.2017</t>
  </si>
  <si>
    <t>שתילים</t>
  </si>
  <si>
    <t>ת. נביטה/שתיליה</t>
  </si>
  <si>
    <t>ג'נבוזה</t>
  </si>
  <si>
    <t>27.3.2017</t>
  </si>
  <si>
    <t>מע 10</t>
  </si>
  <si>
    <t>מע 14</t>
  </si>
  <si>
    <t>מז17</t>
  </si>
  <si>
    <t>מז1,</t>
  </si>
  <si>
    <t>אדומה</t>
  </si>
  <si>
    <t>מז3</t>
  </si>
  <si>
    <t>אבטיח</t>
  </si>
  <si>
    <t>תרד</t>
  </si>
  <si>
    <t>ניתן להוסיף</t>
  </si>
  <si>
    <t>ניוזילנדי</t>
  </si>
  <si>
    <t>מז 2</t>
  </si>
  <si>
    <t>תאריך זריעה</t>
  </si>
  <si>
    <t>מרווח כל 20 בשורה, בין השורה 30, כלומר שלוש שורות.</t>
  </si>
  <si>
    <t>כל השנה</t>
  </si>
  <si>
    <t>מיוני</t>
  </si>
  <si>
    <t>יולי</t>
  </si>
  <si>
    <t>מלון</t>
  </si>
  <si>
    <t>אוגוסט</t>
  </si>
  <si>
    <t>red cherry</t>
  </si>
  <si>
    <t>מורשת (חווה)</t>
  </si>
  <si>
    <t>13.4.2017</t>
  </si>
  <si>
    <t>יוני</t>
  </si>
  <si>
    <t>ספטמבר</t>
  </si>
  <si>
    <t>סלסה, red triangle, משולש.</t>
  </si>
  <si>
    <t>שתילים - מתן הגנן</t>
  </si>
  <si>
    <t>מז7,8</t>
  </si>
  <si>
    <t>שחור רגיל</t>
  </si>
  <si>
    <t>3.4.2017</t>
  </si>
  <si>
    <t>מע5</t>
  </si>
  <si>
    <t>מע4</t>
  </si>
  <si>
    <t>בית אלפא</t>
  </si>
  <si>
    <t>רותם</t>
  </si>
  <si>
    <t>מע 11</t>
  </si>
  <si>
    <t>מכלוא - אגריל</t>
  </si>
  <si>
    <t>רובארב</t>
  </si>
  <si>
    <t>Neckargold צהובה מטפסת</t>
  </si>
  <si>
    <t>פופקורן</t>
  </si>
  <si>
    <t>מע13,12</t>
  </si>
  <si>
    <t>מז13</t>
  </si>
  <si>
    <t>24.4.2017</t>
  </si>
  <si>
    <t>מורשת - בלאדי + מוארך</t>
  </si>
  <si>
    <t>מז12</t>
  </si>
  <si>
    <t>מע14</t>
  </si>
  <si>
    <t>מע13</t>
  </si>
  <si>
    <t>אלברלו, רוגוזה וזנובזה</t>
  </si>
  <si>
    <t>מע2</t>
  </si>
  <si>
    <t>שוגר בייבי</t>
  </si>
  <si>
    <t>מנהרה נמוכה + אוורור. סבלו מפגיעות קליטה מאי-הקשחה. מנהרה הוסרה באמצע אפריל. נזקי חולד. דישון ראש 1.5</t>
  </si>
  <si>
    <t>קורנו די טורו, מכלוא צהוב, חלפניו והבנרו</t>
  </si>
  <si>
    <t>מז 14</t>
  </si>
  <si>
    <t>15.5.2017</t>
  </si>
  <si>
    <t>שתילים מראסטה</t>
  </si>
  <si>
    <t xml:space="preserve">ממוצע ייבול 4 ק"ג/צמח/חודש. כלומר צריך שני צמחים למשפחה. 26 צמחים בחודש.  </t>
  </si>
  <si>
    <t>מורשת. גיזום 22.5.</t>
  </si>
  <si>
    <t>28.4( מחזור 1) 22.5 (מחזור 2)</t>
  </si>
  <si>
    <t>מ"ר מפיק 10 צרורות בחודש. צריך 4 צרורות למשפחה בחודש. סה"כ 52 צרורות בחודש. יש לשתול 9 מטר ערוגה. מחלת השחמת עלים. להחזיק על השקיה נמוכה. טימורקס / פרוביט.</t>
  </si>
  <si>
    <t>22.5.17</t>
  </si>
  <si>
    <t>רפיקנטה, רטטו</t>
  </si>
  <si>
    <t>מגנום</t>
  </si>
  <si>
    <t>1.6.17</t>
  </si>
  <si>
    <t>סוף מאי הופעת כע"ט ווירוס קל. רוסס ונעלם. 8.6 דישון ראש</t>
  </si>
  <si>
    <t>נכשל - זרעים ישנים, כצה תמחים שנבטו הושארו למטרת ייצור זרעים. איסוף זרעים 15.6.</t>
  </si>
  <si>
    <t>אוג'</t>
  </si>
  <si>
    <t>מע20</t>
  </si>
  <si>
    <t>ספט'</t>
  </si>
  <si>
    <t>נביטה לא טובה, היו אכילות של נבטים. 70 אחוז הצליחו.</t>
  </si>
  <si>
    <t>מורשת. דישון ראש 19.6</t>
  </si>
  <si>
    <t>קרימסון סוויט</t>
  </si>
  <si>
    <t>מורשת.</t>
  </si>
  <si>
    <t>ספט</t>
  </si>
  <si>
    <t>אוק'</t>
  </si>
  <si>
    <t>מז 16</t>
  </si>
  <si>
    <t>מז 19</t>
  </si>
  <si>
    <t>תבלינים</t>
  </si>
  <si>
    <t>שמיר, כוסברה פטרוזיליה</t>
  </si>
  <si>
    <t>מז 3</t>
  </si>
  <si>
    <t>דישון ראש במאי</t>
  </si>
  <si>
    <t>נביטה איטית - מומלץ שילוב של אגריל/מנהרה במרץ  להמרצת נביטה. דישון ראש 8.5. נזק גדול מדורבנים.</t>
  </si>
  <si>
    <t>מורשת. דישון ראש 19.6 הדורבנים חיסלו הכל.</t>
  </si>
  <si>
    <t xml:space="preserve">סלק </t>
  </si>
  <si>
    <t>אמצע אוגוסט</t>
  </si>
  <si>
    <t>צריך לייצר פרי/ לשבוע /למשפחה או 4 פירות בחודש. כלומר 52 פירות בחודש כפול שלושה חודשים = 156 פירות. כושר יצור של 2.3 פירות למ"ר כלומר יש לשתול 67 מטר לסבב גידול. אפשר לשים שתי צינורות להכפלת השקיה.</t>
  </si>
  <si>
    <t>עגבניה</t>
  </si>
  <si>
    <t>תמר מסיימת</t>
  </si>
  <si>
    <t>אוקטובר</t>
  </si>
  <si>
    <t>מז 21</t>
  </si>
  <si>
    <t xml:space="preserve">מרמנד </t>
  </si>
  <si>
    <t>מורשת בלתי מסיים - על הדליה 2.5 מטר.</t>
  </si>
  <si>
    <t>?</t>
  </si>
  <si>
    <t>כל שלושים ס"מ 2-3 זרעים בחור ולא לדלל. נשתול 2.5 מטר שעועית למשפחה.</t>
  </si>
  <si>
    <t>5 קלחים למשפחה בשבוע, 20 בחודש. סהכ 260 בחודש. כל צמח מוציא בממוצע 1.5 קלחים. לכן צריך 170 צמחים בחודש, 13 צמחים למ"ר. 13 מטר ערוגה בחודש. לעשות כל שבועיים זריעה. אפשר אמצע מרץ. לחשוב על עיבוי שורות ביחד בשביל האבקה.</t>
  </si>
  <si>
    <t>תחילת אוקטובר</t>
  </si>
  <si>
    <t>הופעת וירוס על שתילים צעירים - נכשל לחלוטין, לא היה מה לקטוף. נעקר ב 16.10</t>
  </si>
  <si>
    <t xml:space="preserve">קליטה קשה בגלל החום, עדיף תחת רשת צל. הופעת וירוס בשלבים מאוחרים, סבל מאקריות וכוויות שמש על הפירות. </t>
  </si>
  <si>
    <t>שתי שורות בערוגה, הדליה ברשת שוכבת. ההדליה לא עבדה טוב. הפלפלים כבדים מדי, מלבד ההבנרו שמתאים להדליה הזאת.</t>
  </si>
  <si>
    <t>2 ק"ג/מטר/חודש. ניתן למשפחה 4 קילו לחודש. צריך 52 קילו חודש. כלומר 26 מטר. אפשר להפחית כמות. לא חובה לרסס. אפשר לשים 2 צינורות להכפלת השקיה. גדלים לגבוה של יותר מ2.5 מטר. מומלץ לעשות שתילה נוספת מאוחרת לקבלת פירות רעננים.</t>
  </si>
  <si>
    <t>מנהרה נמוכה עם אוורור, שתילה ראשונה לא טוב, "שתילים מרחפים",  הורדת ניילון בתחילת אפריל. קיבלו את כשותית הבזיל בסוף יוני. טימורקס פעם בשבוע לא עזר. הפסקנו לקטוף.</t>
  </si>
  <si>
    <t>שתילים. 18.5 - חטפו וירוס ZYMV. ייבול נמוך.</t>
  </si>
  <si>
    <t>מכלוא - השתילים גודלו מתחת לאגריל ואחרי חודש יוצאים נפלאים מתחת לאגריל. מהר מאוד מתפשטת הכשותית וקורעת אותם, אפילו לא חודש קטיף אייכותי. חייבים למצוא פתרון לכשותית כדי המשיך לגדל.</t>
  </si>
  <si>
    <t>0.5 קילו ייבול למ"ר לשבוע או 2 קילו למ"ר לחודש. צריך 6 קילו מלפפון בחודש למשפחה כלומר סה"כ 78 קילו בחודש שזה 39 מטר גידול. פקוס בפברואר. מלפפון במרץ. חיפוי תירס. אפשר לזרוע מלפפון כל הקיץ אבל החל ממאי בערך סובל מכשותית והקטיף האיכותי מאוד קצר. צריך למצוא פתרון טוב לכשותית.</t>
  </si>
  <si>
    <t>מורשת - חובה לזרוע באגריל</t>
  </si>
  <si>
    <t>מכלוא - חובה לזרוע באגריל עד הפריחה</t>
  </si>
  <si>
    <t xml:space="preserve">קילו וחצי פרי למשפחה לשבוע.  78 קילו בחודש. ייבול 2.8 קילו למטר כלומר צריך 28 מטר ערוגה. אפשר לזרוע כל הקיץ. שתילות של תחילת העונה נותנות קטיף ממושף של שלושה חודשים. החל ממאי חובה לזרוע מתחת לאגריל ולהשאיר כמה זמן שאפשר כי הוירוסים משתוללים. </t>
  </si>
  <si>
    <t>נוב</t>
  </si>
  <si>
    <t>שלושה חודשים</t>
  </si>
  <si>
    <t>זן לא מוצלח, נותן הרבה בהתחלה ואחר כך יורד. רגיש למחלות.</t>
  </si>
  <si>
    <t>זן מוצלח עם ייבול טוב. עשה הפסקה של חודש בסביבות ספטמבר וחזר לפעילות באוקטובר.</t>
  </si>
  <si>
    <t>1/10</t>
  </si>
  <si>
    <t>50 גרם לצמח לקטיף שלושה קטיפים. רגיש לקמחון. באזור אוקטובר מתחיל לסבול מזחלים של זבובים? שעוקצים את הפירות.</t>
  </si>
  <si>
    <t>15/10</t>
  </si>
  <si>
    <t>23/10</t>
  </si>
  <si>
    <t>2/11</t>
  </si>
  <si>
    <t>2 צינורות, ארבע שורות בארוגה. זריעה צפופה. היתה נביטה גרועה להבא ממליץ על השקיה במתזים. קרוב לוודאי גם שהזרעים היו ישנים...הפטרוזיליה לא פרחה. כוסברה ושמיר פרחו אחרי קטיף - שניים.</t>
  </si>
  <si>
    <t>זן ניסויי עם עמידות לוירוסים - לא נתן ייבול יפה. חובה רשת צל.</t>
  </si>
  <si>
    <t>אדממה</t>
  </si>
  <si>
    <t>מאי</t>
  </si>
  <si>
    <t>קילו למטר</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</si>
</sst>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Arial"/>
      <family val="2"/>
      <scheme val="minor"/>
    </font>
    <font>
      <b/>
      <sz val="11"/>
      <color theme="1"/>
      <name val="Arial"/>
      <family val="2"/>
      <scheme val="minor"/>
    </font>
    <font>
      <sz val="11"/>
      <color rgb="FFFF0000"/>
      <name val="Arial"/>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137">
    <xf numFmtId="0" fontId="0" fillId="0" borderId="0" xfId="0"/>
    <xf numFmtId="0" fontId="0" fillId="0" borderId="0" xfId="0" applyAlignment="1">
      <alignment readingOrder="2"/>
    </xf>
    <xf numFmtId="0" fontId="0" fillId="0" borderId="0" xfId="0" applyAlignment="1">
      <alignment horizontal="center" readingOrder="2"/>
    </xf>
    <xf numFmtId="0" fontId="0" fillId="0" borderId="1" xfId="0" applyBorder="1" applyAlignment="1">
      <alignment readingOrder="2"/>
    </xf>
    <xf numFmtId="0" fontId="0" fillId="0" borderId="1" xfId="0" applyFill="1" applyBorder="1" applyAlignment="1">
      <alignment horizontal="center" readingOrder="2"/>
    </xf>
    <xf numFmtId="0" fontId="0" fillId="0" borderId="7" xfId="0" applyBorder="1" applyAlignment="1">
      <alignment horizontal="center" readingOrder="2"/>
    </xf>
    <xf numFmtId="0" fontId="0" fillId="0" borderId="18" xfId="0" applyBorder="1" applyAlignment="1">
      <alignment horizontal="center" vertical="center" readingOrder="2"/>
    </xf>
    <xf numFmtId="0" fontId="1" fillId="2" borderId="10" xfId="0" applyFont="1" applyFill="1" applyBorder="1" applyAlignment="1">
      <alignment horizontal="center" vertical="center" wrapText="1" readingOrder="2"/>
    </xf>
    <xf numFmtId="0" fontId="1" fillId="0" borderId="11" xfId="0" applyFont="1" applyBorder="1" applyAlignment="1">
      <alignment horizontal="center" vertical="center" wrapText="1" readingOrder="2"/>
    </xf>
    <xf numFmtId="1" fontId="1" fillId="0" borderId="11" xfId="0" applyNumberFormat="1" applyFont="1" applyBorder="1" applyAlignment="1">
      <alignment horizontal="center" vertical="center" wrapText="1" readingOrder="2"/>
    </xf>
    <xf numFmtId="0" fontId="0" fillId="0" borderId="9" xfId="0" applyFill="1" applyBorder="1" applyAlignment="1">
      <alignment horizontal="center" readingOrder="2"/>
    </xf>
    <xf numFmtId="0" fontId="0" fillId="0" borderId="9" xfId="0" applyBorder="1" applyAlignment="1">
      <alignment horizontal="center" readingOrder="2"/>
    </xf>
    <xf numFmtId="0" fontId="0" fillId="0" borderId="9" xfId="0" applyBorder="1" applyAlignment="1">
      <alignment horizontal="center" vertical="center" readingOrder="2"/>
    </xf>
    <xf numFmtId="1" fontId="0" fillId="0" borderId="9" xfId="0" applyNumberFormat="1" applyBorder="1" applyAlignment="1">
      <alignment horizontal="center" readingOrder="2"/>
    </xf>
    <xf numFmtId="0" fontId="0" fillId="0" borderId="18" xfId="0" applyFill="1" applyBorder="1" applyAlignment="1">
      <alignment horizontal="center" readingOrder="2"/>
    </xf>
    <xf numFmtId="0" fontId="0" fillId="0" borderId="18" xfId="0" applyBorder="1" applyAlignment="1">
      <alignment horizontal="center" readingOrder="2"/>
    </xf>
    <xf numFmtId="0" fontId="0" fillId="0" borderId="2" xfId="0" applyBorder="1" applyAlignment="1">
      <alignment readingOrder="2"/>
    </xf>
    <xf numFmtId="0" fontId="0" fillId="0" borderId="3" xfId="0" applyBorder="1" applyAlignment="1">
      <alignment readingOrder="2"/>
    </xf>
    <xf numFmtId="0" fontId="0" fillId="0" borderId="3" xfId="0" applyBorder="1" applyAlignment="1">
      <alignment horizontal="center" readingOrder="2"/>
    </xf>
    <xf numFmtId="0" fontId="0" fillId="0" borderId="6" xfId="0" applyBorder="1" applyAlignment="1">
      <alignment horizontal="center" readingOrder="2"/>
    </xf>
    <xf numFmtId="0" fontId="0" fillId="0" borderId="7" xfId="0" applyBorder="1" applyAlignment="1">
      <alignment horizontal="center" vertical="center" readingOrder="2"/>
    </xf>
    <xf numFmtId="1" fontId="0" fillId="0" borderId="7" xfId="0" applyNumberFormat="1" applyBorder="1" applyAlignment="1">
      <alignment horizontal="center" readingOrder="2"/>
    </xf>
    <xf numFmtId="0" fontId="0" fillId="0" borderId="8" xfId="0" applyBorder="1" applyAlignment="1">
      <alignment horizontal="center" readingOrder="2"/>
    </xf>
    <xf numFmtId="0" fontId="0" fillId="0" borderId="18" xfId="0" applyBorder="1" applyAlignment="1">
      <alignment vertical="center" readingOrder="2"/>
    </xf>
    <xf numFmtId="0" fontId="0" fillId="0" borderId="2" xfId="0" applyFill="1" applyBorder="1" applyAlignment="1">
      <alignment horizontal="center" readingOrder="2"/>
    </xf>
    <xf numFmtId="0" fontId="0" fillId="0" borderId="2" xfId="0" applyBorder="1" applyAlignment="1">
      <alignment horizontal="center" readingOrder="2"/>
    </xf>
    <xf numFmtId="0" fontId="0" fillId="0" borderId="2" xfId="0" applyBorder="1" applyAlignment="1">
      <alignment horizontal="center" vertical="center" readingOrder="2"/>
    </xf>
    <xf numFmtId="0" fontId="1" fillId="0" borderId="12" xfId="0" applyFont="1" applyBorder="1" applyAlignment="1">
      <alignment horizontal="center" vertical="center" readingOrder="2"/>
    </xf>
    <xf numFmtId="0" fontId="0" fillId="0" borderId="15" xfId="0" applyBorder="1" applyAlignment="1">
      <alignment horizontal="center" vertical="center" readingOrder="2"/>
    </xf>
    <xf numFmtId="164" fontId="0" fillId="0" borderId="1" xfId="0" applyNumberFormat="1" applyBorder="1" applyAlignment="1">
      <alignment horizontal="center" readingOrder="2"/>
    </xf>
    <xf numFmtId="1" fontId="0" fillId="0" borderId="2" xfId="0" applyNumberFormat="1" applyBorder="1" applyAlignment="1">
      <alignment horizontal="center" readingOrder="2"/>
    </xf>
    <xf numFmtId="0" fontId="0" fillId="4" borderId="2" xfId="0" applyFill="1" applyBorder="1" applyAlignment="1">
      <alignment horizontal="center" readingOrder="2"/>
    </xf>
    <xf numFmtId="0" fontId="1" fillId="0" borderId="22" xfId="0" applyFont="1" applyBorder="1" applyAlignment="1">
      <alignment horizontal="center" vertical="center" wrapText="1" readingOrder="2"/>
    </xf>
    <xf numFmtId="0" fontId="0" fillId="0" borderId="0" xfId="0" applyAlignment="1">
      <alignment horizontal="center" vertical="center" readingOrder="2"/>
    </xf>
    <xf numFmtId="1" fontId="0" fillId="0" borderId="0" xfId="0" applyNumberFormat="1" applyAlignment="1">
      <alignment readingOrder="2"/>
    </xf>
    <xf numFmtId="164" fontId="0" fillId="0" borderId="2" xfId="0" applyNumberFormat="1" applyBorder="1" applyAlignment="1">
      <alignment horizontal="center" readingOrder="2"/>
    </xf>
    <xf numFmtId="0" fontId="0" fillId="0" borderId="4" xfId="0" applyBorder="1" applyAlignment="1">
      <alignment readingOrder="2"/>
    </xf>
    <xf numFmtId="0" fontId="0" fillId="0" borderId="5" xfId="0" applyBorder="1" applyAlignment="1">
      <alignment readingOrder="2"/>
    </xf>
    <xf numFmtId="0" fontId="0" fillId="0" borderId="29" xfId="0" applyFill="1" applyBorder="1" applyAlignment="1">
      <alignment horizontal="center" readingOrder="2"/>
    </xf>
    <xf numFmtId="0" fontId="0" fillId="0" borderId="30" xfId="0" applyBorder="1" applyAlignment="1">
      <alignment horizontal="center" vertical="center" readingOrder="2"/>
    </xf>
    <xf numFmtId="0" fontId="0" fillId="0" borderId="1" xfId="0" applyBorder="1" applyAlignment="1">
      <alignment vertical="center" readingOrder="2"/>
    </xf>
    <xf numFmtId="0" fontId="1" fillId="0" borderId="1" xfId="0" applyFont="1" applyBorder="1" applyAlignment="1">
      <alignment horizontal="center" vertical="center" wrapText="1" readingOrder="2"/>
    </xf>
    <xf numFmtId="0" fontId="0" fillId="0" borderId="18" xfId="0" applyFont="1" applyBorder="1" applyAlignment="1">
      <alignment horizontal="center" vertical="center" wrapText="1" readingOrder="2"/>
    </xf>
    <xf numFmtId="49" fontId="0" fillId="0" borderId="2" xfId="0" applyNumberFormat="1" applyBorder="1" applyAlignment="1">
      <alignment horizontal="center" readingOrder="2"/>
    </xf>
    <xf numFmtId="0" fontId="0" fillId="0" borderId="1" xfId="0" applyBorder="1"/>
    <xf numFmtId="0" fontId="2" fillId="0" borderId="2" xfId="0" applyFont="1" applyBorder="1" applyAlignment="1">
      <alignment wrapText="1" readingOrder="2"/>
    </xf>
    <xf numFmtId="0" fontId="0" fillId="0" borderId="1" xfId="0" applyFill="1" applyBorder="1" applyAlignment="1">
      <alignment horizontal="center" vertical="center" readingOrder="2"/>
    </xf>
    <xf numFmtId="0" fontId="0" fillId="4" borderId="1" xfId="0" applyFill="1" applyBorder="1" applyAlignment="1">
      <alignment horizontal="center" vertical="center" readingOrder="2"/>
    </xf>
    <xf numFmtId="0" fontId="0" fillId="0" borderId="20" xfId="0" applyBorder="1" applyAlignment="1">
      <alignment horizontal="center" readingOrder="2"/>
    </xf>
    <xf numFmtId="0" fontId="1" fillId="0" borderId="17" xfId="0" applyFont="1" applyBorder="1" applyAlignment="1">
      <alignment horizontal="center" vertical="center" wrapText="1" readingOrder="2"/>
    </xf>
    <xf numFmtId="0" fontId="0" fillId="0" borderId="22" xfId="0" applyBorder="1" applyAlignment="1">
      <alignment horizontal="right" vertical="top" wrapText="1" readingOrder="2"/>
    </xf>
    <xf numFmtId="0" fontId="0" fillId="0" borderId="0" xfId="0" applyBorder="1" applyAlignment="1">
      <alignment horizontal="right" vertical="top" wrapText="1" readingOrder="2"/>
    </xf>
    <xf numFmtId="0" fontId="0" fillId="0" borderId="1" xfId="0" applyBorder="1" applyAlignment="1">
      <alignment horizontal="center" vertical="center" readingOrder="2"/>
    </xf>
    <xf numFmtId="0" fontId="0" fillId="0" borderId="1" xfId="0" applyBorder="1" applyAlignment="1">
      <alignment horizontal="center" readingOrder="2"/>
    </xf>
    <xf numFmtId="1" fontId="0" fillId="0" borderId="1" xfId="0" applyNumberFormat="1" applyBorder="1" applyAlignment="1">
      <alignment horizontal="center" readingOrder="2"/>
    </xf>
    <xf numFmtId="0" fontId="0" fillId="0" borderId="2" xfId="0" applyBorder="1"/>
    <xf numFmtId="0" fontId="0" fillId="3" borderId="12" xfId="0" applyFill="1" applyBorder="1" applyAlignment="1">
      <alignment readingOrder="2"/>
    </xf>
    <xf numFmtId="0" fontId="0" fillId="3" borderId="13" xfId="0" applyFill="1" applyBorder="1" applyAlignment="1">
      <alignment readingOrder="2"/>
    </xf>
    <xf numFmtId="0" fontId="0" fillId="3" borderId="13" xfId="0" applyFill="1" applyBorder="1" applyAlignment="1">
      <alignment horizontal="center" vertical="center" readingOrder="2"/>
    </xf>
    <xf numFmtId="1" fontId="0" fillId="3" borderId="13" xfId="0" applyNumberFormat="1" applyFill="1" applyBorder="1" applyAlignment="1">
      <alignment readingOrder="2"/>
    </xf>
    <xf numFmtId="0" fontId="0" fillId="3" borderId="14" xfId="0" applyFill="1" applyBorder="1" applyAlignment="1">
      <alignment readingOrder="2"/>
    </xf>
    <xf numFmtId="0" fontId="0" fillId="3" borderId="35" xfId="0" applyFill="1" applyBorder="1" applyAlignment="1">
      <alignment readingOrder="2"/>
    </xf>
    <xf numFmtId="0" fontId="0" fillId="3" borderId="0" xfId="0" applyFill="1" applyBorder="1" applyAlignment="1">
      <alignment readingOrder="2"/>
    </xf>
    <xf numFmtId="0" fontId="0" fillId="3" borderId="0" xfId="0" applyFill="1" applyBorder="1" applyAlignment="1">
      <alignment horizontal="center" vertical="center" readingOrder="2"/>
    </xf>
    <xf numFmtId="1" fontId="0" fillId="3" borderId="0" xfId="0" applyNumberFormat="1" applyFill="1" applyBorder="1" applyAlignment="1">
      <alignment readingOrder="2"/>
    </xf>
    <xf numFmtId="0" fontId="0" fillId="3" borderId="34" xfId="0" applyFill="1" applyBorder="1" applyAlignment="1">
      <alignment readingOrder="2"/>
    </xf>
    <xf numFmtId="0" fontId="1" fillId="0" borderId="35" xfId="0" applyFont="1" applyBorder="1" applyAlignment="1">
      <alignment horizontal="center" vertical="center" wrapText="1" readingOrder="2"/>
    </xf>
    <xf numFmtId="0" fontId="0" fillId="0" borderId="34" xfId="0" applyBorder="1" applyAlignment="1">
      <alignment horizontal="right" vertical="top" wrapText="1" readingOrder="2"/>
    </xf>
    <xf numFmtId="0" fontId="0" fillId="0" borderId="7" xfId="0" applyBorder="1" applyAlignment="1">
      <alignment readingOrder="2"/>
    </xf>
    <xf numFmtId="1" fontId="0" fillId="0" borderId="2" xfId="0" applyNumberFormat="1" applyBorder="1" applyAlignment="1">
      <alignment readingOrder="2"/>
    </xf>
    <xf numFmtId="0" fontId="1" fillId="0" borderId="36" xfId="0" applyFont="1" applyBorder="1" applyAlignment="1">
      <alignment horizontal="center" vertical="center" readingOrder="2"/>
    </xf>
    <xf numFmtId="0" fontId="0" fillId="0" borderId="3" xfId="0" applyBorder="1" applyAlignment="1">
      <alignment horizontal="center" vertical="center" readingOrder="2"/>
    </xf>
    <xf numFmtId="0" fontId="0" fillId="0" borderId="13" xfId="0" applyBorder="1" applyAlignment="1">
      <alignment readingOrder="2"/>
    </xf>
    <xf numFmtId="0" fontId="0" fillId="0" borderId="37" xfId="0" applyBorder="1" applyAlignment="1">
      <alignment horizontal="center" vertical="center" readingOrder="2"/>
    </xf>
    <xf numFmtId="0" fontId="0" fillId="0" borderId="16" xfId="0" applyBorder="1" applyAlignment="1">
      <alignment readingOrder="2"/>
    </xf>
    <xf numFmtId="0" fontId="0" fillId="0" borderId="2" xfId="0" applyBorder="1" applyAlignment="1">
      <alignment vertical="center" readingOrder="2"/>
    </xf>
    <xf numFmtId="0" fontId="0" fillId="0" borderId="28" xfId="0" applyBorder="1" applyAlignment="1">
      <alignment horizontal="center" vertical="center" readingOrder="2"/>
    </xf>
    <xf numFmtId="0" fontId="0" fillId="0" borderId="31" xfId="0" applyBorder="1" applyAlignment="1">
      <alignment horizontal="center" vertical="center" readingOrder="2"/>
    </xf>
    <xf numFmtId="0" fontId="0" fillId="0" borderId="29" xfId="0" applyBorder="1" applyAlignment="1">
      <alignment vertical="center" readingOrder="2"/>
    </xf>
    <xf numFmtId="0" fontId="0" fillId="0" borderId="1" xfId="0" applyBorder="1" applyAlignment="1">
      <alignment horizontal="right" vertical="center" wrapText="1" readingOrder="2"/>
    </xf>
    <xf numFmtId="0" fontId="0" fillId="0" borderId="0" xfId="0" applyBorder="1" applyAlignment="1">
      <alignment vertical="center" readingOrder="2"/>
    </xf>
    <xf numFmtId="0" fontId="0" fillId="0" borderId="1" xfId="0" applyBorder="1" applyAlignment="1">
      <alignment vertical="center" wrapText="1" readingOrder="2"/>
    </xf>
    <xf numFmtId="0" fontId="0" fillId="0" borderId="1" xfId="0" applyFont="1" applyBorder="1" applyAlignment="1">
      <alignment horizontal="center" vertical="center" wrapText="1" readingOrder="2"/>
    </xf>
    <xf numFmtId="0" fontId="0" fillId="4" borderId="1" xfId="0" applyFill="1" applyBorder="1" applyAlignment="1">
      <alignment horizontal="center" readingOrder="2"/>
    </xf>
    <xf numFmtId="0" fontId="0" fillId="4" borderId="1" xfId="0" applyFill="1" applyBorder="1" applyAlignment="1">
      <alignment horizontal="right" readingOrder="2"/>
    </xf>
    <xf numFmtId="0" fontId="0" fillId="0" borderId="3" xfId="0" applyBorder="1" applyAlignment="1">
      <alignment horizontal="center" vertical="center" readingOrder="2"/>
    </xf>
    <xf numFmtId="0" fontId="0" fillId="0" borderId="3"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0" fillId="0" borderId="0" xfId="0" applyFill="1" applyBorder="1" applyAlignment="1">
      <alignment readingOrder="2"/>
    </xf>
    <xf numFmtId="16" fontId="0" fillId="0" borderId="2" xfId="0" applyNumberFormat="1" applyFill="1" applyBorder="1" applyAlignment="1">
      <alignment horizontal="center" readingOrder="2"/>
    </xf>
    <xf numFmtId="16" fontId="0" fillId="4" borderId="2" xfId="0" applyNumberFormat="1" applyFill="1" applyBorder="1" applyAlignment="1">
      <alignment horizontal="center" readingOrder="2"/>
    </xf>
    <xf numFmtId="16" fontId="0" fillId="0" borderId="2" xfId="0" applyNumberFormat="1" applyBorder="1" applyAlignment="1">
      <alignment horizontal="center" readingOrder="2"/>
    </xf>
    <xf numFmtId="17" fontId="0" fillId="0" borderId="2" xfId="0" applyNumberFormat="1" applyBorder="1" applyAlignment="1">
      <alignment horizontal="center" readingOrder="2"/>
    </xf>
    <xf numFmtId="0" fontId="0" fillId="0" borderId="3" xfId="0" applyBorder="1" applyAlignment="1">
      <alignment horizontal="center" vertical="center" readingOrder="2"/>
    </xf>
    <xf numFmtId="0" fontId="0" fillId="0" borderId="3"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1" fillId="0" borderId="23" xfId="0" applyFont="1" applyBorder="1" applyAlignment="1">
      <alignment horizontal="center" vertical="center" wrapText="1" readingOrder="2"/>
    </xf>
    <xf numFmtId="0" fontId="1" fillId="0" borderId="24" xfId="0" applyFont="1" applyBorder="1" applyAlignment="1">
      <alignment horizontal="center" vertical="center" wrapText="1" readingOrder="2"/>
    </xf>
    <xf numFmtId="0" fontId="1" fillId="0" borderId="25" xfId="0" applyFont="1" applyBorder="1" applyAlignment="1">
      <alignment horizontal="center" vertical="center" wrapText="1" readingOrder="2"/>
    </xf>
    <xf numFmtId="0" fontId="1" fillId="0" borderId="32" xfId="0" applyFont="1" applyBorder="1" applyAlignment="1">
      <alignment horizontal="center" vertical="center" wrapText="1" readingOrder="2"/>
    </xf>
    <xf numFmtId="0" fontId="1" fillId="0" borderId="33" xfId="0" applyFont="1" applyBorder="1" applyAlignment="1">
      <alignment horizontal="center" vertical="center" wrapText="1" readingOrder="2"/>
    </xf>
    <xf numFmtId="0" fontId="0" fillId="0" borderId="21" xfId="0" applyBorder="1" applyAlignment="1">
      <alignment horizontal="right" vertical="top" wrapText="1" readingOrder="2"/>
    </xf>
    <xf numFmtId="0" fontId="0" fillId="0" borderId="13" xfId="0" applyBorder="1" applyAlignment="1">
      <alignment horizontal="right" vertical="top" wrapText="1" readingOrder="2"/>
    </xf>
    <xf numFmtId="0" fontId="0" fillId="0" borderId="14" xfId="0" applyBorder="1" applyAlignment="1">
      <alignment horizontal="right" vertical="top" wrapText="1" readingOrder="2"/>
    </xf>
    <xf numFmtId="0" fontId="0" fillId="0" borderId="22" xfId="0" applyBorder="1" applyAlignment="1">
      <alignment horizontal="right" vertical="top" wrapText="1" readingOrder="2"/>
    </xf>
    <xf numFmtId="0" fontId="0" fillId="0" borderId="0" xfId="0" applyBorder="1" applyAlignment="1">
      <alignment horizontal="right" vertical="top" wrapText="1" readingOrder="2"/>
    </xf>
    <xf numFmtId="0" fontId="0" fillId="0" borderId="34" xfId="0" applyBorder="1" applyAlignment="1">
      <alignment horizontal="right" vertical="top" wrapText="1" readingOrder="2"/>
    </xf>
    <xf numFmtId="0" fontId="0" fillId="0" borderId="3" xfId="0" applyBorder="1" applyAlignment="1">
      <alignment horizontal="center" vertical="center" readingOrder="2"/>
    </xf>
    <xf numFmtId="0" fontId="0" fillId="0" borderId="3" xfId="0" applyBorder="1" applyAlignment="1">
      <alignment horizontal="center" readingOrder="2"/>
    </xf>
    <xf numFmtId="0" fontId="0" fillId="0" borderId="28" xfId="0" applyBorder="1" applyAlignment="1">
      <alignment horizontal="center" readingOrder="2"/>
    </xf>
    <xf numFmtId="0" fontId="0" fillId="0" borderId="5" xfId="0" applyBorder="1" applyAlignment="1">
      <alignment horizontal="center" readingOrder="2"/>
    </xf>
    <xf numFmtId="0" fontId="0" fillId="0" borderId="4" xfId="0" applyBorder="1" applyAlignment="1">
      <alignment horizontal="center" readingOrder="2"/>
    </xf>
    <xf numFmtId="0" fontId="0" fillId="0" borderId="7" xfId="0" applyBorder="1" applyAlignment="1">
      <alignment horizontal="center" vertical="center" readingOrder="2"/>
    </xf>
    <xf numFmtId="0" fontId="0" fillId="0" borderId="7" xfId="0" applyBorder="1" applyAlignment="1">
      <alignment horizontal="center" readingOrder="2"/>
    </xf>
    <xf numFmtId="0" fontId="0" fillId="0" borderId="31" xfId="0" applyBorder="1" applyAlignment="1">
      <alignment horizontal="center" readingOrder="2"/>
    </xf>
    <xf numFmtId="0" fontId="0" fillId="0" borderId="20" xfId="0" applyBorder="1" applyAlignment="1">
      <alignment horizontal="center" readingOrder="2"/>
    </xf>
    <xf numFmtId="1" fontId="0" fillId="0" borderId="19" xfId="0" applyNumberFormat="1" applyBorder="1" applyAlignment="1">
      <alignment horizontal="center" readingOrder="2"/>
    </xf>
    <xf numFmtId="1" fontId="0" fillId="0" borderId="20" xfId="0" applyNumberFormat="1" applyBorder="1" applyAlignment="1">
      <alignment horizontal="center" readingOrder="2"/>
    </xf>
    <xf numFmtId="0" fontId="0" fillId="0" borderId="9" xfId="0" applyBorder="1" applyAlignment="1">
      <alignment horizontal="center" vertical="center" readingOrder="2"/>
    </xf>
    <xf numFmtId="0" fontId="0" fillId="0" borderId="26" xfId="0" applyBorder="1" applyAlignment="1">
      <alignment horizontal="center" readingOrder="2"/>
    </xf>
    <xf numFmtId="0" fontId="0" fillId="0" borderId="27" xfId="0" applyBorder="1" applyAlignment="1">
      <alignment horizontal="center" readingOrder="2"/>
    </xf>
    <xf numFmtId="0" fontId="1" fillId="0" borderId="21" xfId="0" applyFont="1" applyBorder="1" applyAlignment="1">
      <alignment horizontal="center" vertical="center" wrapText="1" readingOrder="2"/>
    </xf>
    <xf numFmtId="0" fontId="1" fillId="0" borderId="13" xfId="0" applyFont="1" applyBorder="1" applyAlignment="1">
      <alignment horizontal="center" vertical="center" wrapText="1" readingOrder="2"/>
    </xf>
    <xf numFmtId="0" fontId="1" fillId="0" borderId="14" xfId="0" applyFont="1" applyBorder="1" applyAlignment="1">
      <alignment horizontal="center" vertical="center" wrapText="1" readingOrder="2"/>
    </xf>
    <xf numFmtId="1" fontId="0" fillId="0" borderId="7" xfId="0" applyNumberFormat="1" applyBorder="1" applyAlignment="1">
      <alignment horizontal="center" readingOrder="2"/>
    </xf>
    <xf numFmtId="16" fontId="0" fillId="0" borderId="7" xfId="0" applyNumberFormat="1" applyBorder="1" applyAlignment="1">
      <alignment horizontal="center" readingOrder="2"/>
    </xf>
    <xf numFmtId="0" fontId="0" fillId="0" borderId="21" xfId="0" applyBorder="1" applyAlignment="1">
      <alignment horizontal="center" vertical="top" wrapText="1" readingOrder="2"/>
    </xf>
    <xf numFmtId="0" fontId="0" fillId="0" borderId="13" xfId="0" applyBorder="1" applyAlignment="1">
      <alignment horizontal="center" vertical="top" wrapText="1" readingOrder="2"/>
    </xf>
    <xf numFmtId="0" fontId="0" fillId="0" borderId="14" xfId="0" applyBorder="1" applyAlignment="1">
      <alignment horizontal="center" vertical="top" wrapText="1" readingOrder="2"/>
    </xf>
    <xf numFmtId="0" fontId="0" fillId="0" borderId="22" xfId="0" applyBorder="1" applyAlignment="1">
      <alignment horizontal="center" vertical="top" wrapText="1" readingOrder="2"/>
    </xf>
    <xf numFmtId="0" fontId="0" fillId="0" borderId="0" xfId="0" applyBorder="1" applyAlignment="1">
      <alignment horizontal="center" vertical="top" wrapText="1" readingOrder="2"/>
    </xf>
    <xf numFmtId="0" fontId="0" fillId="0" borderId="34" xfId="0" applyBorder="1" applyAlignment="1">
      <alignment horizontal="center" vertical="top" wrapText="1" readingOrder="2"/>
    </xf>
    <xf numFmtId="0" fontId="0" fillId="0" borderId="0" xfId="0" applyFont="1" applyBorder="1" applyAlignment="1">
      <alignment horizontal="right" vertical="top" wrapText="1" readingOrder="2"/>
    </xf>
    <xf numFmtId="0" fontId="0" fillId="0" borderId="34" xfId="0" applyFont="1" applyBorder="1" applyAlignment="1">
      <alignment horizontal="right" vertical="top" wrapText="1" readingOrder="2"/>
    </xf>
    <xf numFmtId="0" fontId="1" fillId="0" borderId="33" xfId="0" applyFont="1" applyBorder="1" applyAlignment="1">
      <alignment horizontal="center" vertical="center" readingOrder="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0"/>
  <sheetViews>
    <sheetView rightToLeft="1" tabSelected="1" topLeftCell="A130" zoomScale="90" zoomScaleNormal="90" workbookViewId="0">
      <selection activeCell="A113" sqref="A113:XFD113"/>
    </sheetView>
  </sheetViews>
  <sheetFormatPr defaultColWidth="9.125" defaultRowHeight="14.25" x14ac:dyDescent="0.2"/>
  <cols>
    <col min="1" max="1" width="10.875" style="1" customWidth="1"/>
    <col min="2" max="2" width="21.875" style="1" bestFit="1" customWidth="1"/>
    <col min="3" max="3" width="10.875" style="1" customWidth="1"/>
    <col min="4" max="4" width="12.375" style="1" bestFit="1" customWidth="1"/>
    <col min="5" max="5" width="14" style="1" bestFit="1" customWidth="1"/>
    <col min="6" max="6" width="9.125" style="1"/>
    <col min="7" max="7" width="11.375" style="1" bestFit="1" customWidth="1"/>
    <col min="8" max="8" width="9.125" style="1"/>
    <col min="9" max="9" width="9" style="33"/>
    <col min="10" max="11" width="9.125" style="1"/>
    <col min="12" max="12" width="9.125" style="34"/>
    <col min="13" max="13" width="12.25" style="1" customWidth="1"/>
    <col min="14" max="14" width="10.25" style="1" customWidth="1"/>
    <col min="15" max="15" width="11.75" style="1" customWidth="1"/>
    <col min="16" max="16" width="12.375" style="1" customWidth="1"/>
    <col min="17" max="16384" width="9.125" style="1"/>
  </cols>
  <sheetData>
    <row r="1" spans="1:17" ht="15" thickBot="1" x14ac:dyDescent="0.25">
      <c r="A1" s="56"/>
      <c r="B1" s="57"/>
      <c r="C1" s="57"/>
      <c r="D1" s="57"/>
      <c r="E1" s="57"/>
      <c r="F1" s="57"/>
      <c r="G1" s="57"/>
      <c r="H1" s="57"/>
      <c r="I1" s="58"/>
      <c r="J1" s="57"/>
      <c r="K1" s="57"/>
      <c r="L1" s="59"/>
      <c r="M1" s="57"/>
      <c r="N1" s="57"/>
      <c r="O1" s="57"/>
      <c r="P1" s="57"/>
      <c r="Q1" s="60"/>
    </row>
    <row r="2" spans="1:17" ht="45.75" thickBot="1" x14ac:dyDescent="0.25">
      <c r="A2" s="7" t="s">
        <v>0</v>
      </c>
      <c r="B2" s="8" t="s">
        <v>1</v>
      </c>
      <c r="C2" s="8" t="s">
        <v>9</v>
      </c>
      <c r="D2" s="8" t="s">
        <v>13</v>
      </c>
      <c r="E2" s="8" t="s">
        <v>100</v>
      </c>
      <c r="F2" s="8" t="s">
        <v>5</v>
      </c>
      <c r="G2" s="8" t="s">
        <v>6</v>
      </c>
      <c r="H2" s="8" t="s">
        <v>2</v>
      </c>
      <c r="I2" s="8" t="s">
        <v>23</v>
      </c>
      <c r="J2" s="8" t="s">
        <v>3</v>
      </c>
      <c r="K2" s="8" t="s">
        <v>4</v>
      </c>
      <c r="L2" s="9" t="s">
        <v>25</v>
      </c>
      <c r="M2" s="8" t="s">
        <v>26</v>
      </c>
      <c r="N2" s="98" t="s">
        <v>9</v>
      </c>
      <c r="O2" s="99"/>
      <c r="P2" s="99"/>
      <c r="Q2" s="100"/>
    </row>
    <row r="3" spans="1:17" ht="14.25" customHeight="1" x14ac:dyDescent="0.2">
      <c r="A3" s="136" t="s">
        <v>16</v>
      </c>
      <c r="B3" s="15" t="s">
        <v>121</v>
      </c>
      <c r="C3" s="15" t="s">
        <v>122</v>
      </c>
      <c r="D3" s="10" t="s">
        <v>123</v>
      </c>
      <c r="E3" s="10" t="s">
        <v>99</v>
      </c>
      <c r="F3" s="11" t="s">
        <v>118</v>
      </c>
      <c r="G3" s="11" t="s">
        <v>194</v>
      </c>
      <c r="H3" s="11">
        <v>16</v>
      </c>
      <c r="I3" s="12" t="s">
        <v>61</v>
      </c>
      <c r="J3" s="13">
        <v>2</v>
      </c>
      <c r="K3" s="13">
        <f>J3*H3</f>
        <v>32</v>
      </c>
      <c r="L3" s="13">
        <f>1.3*K3</f>
        <v>41.6</v>
      </c>
      <c r="M3" s="13">
        <f>H3*2*3</f>
        <v>96</v>
      </c>
      <c r="N3" s="106" t="s">
        <v>55</v>
      </c>
      <c r="O3" s="107"/>
      <c r="P3" s="107"/>
      <c r="Q3" s="108"/>
    </row>
    <row r="4" spans="1:17" ht="14.25" customHeight="1" x14ac:dyDescent="0.2">
      <c r="A4" s="136"/>
      <c r="B4" s="53" t="s">
        <v>67</v>
      </c>
      <c r="C4" s="15" t="s">
        <v>154</v>
      </c>
      <c r="D4" s="14">
        <v>18.5</v>
      </c>
      <c r="E4" s="10" t="s">
        <v>99</v>
      </c>
      <c r="F4" s="15">
        <v>8.2017000000000007</v>
      </c>
      <c r="G4" s="15" t="s">
        <v>45</v>
      </c>
      <c r="H4" s="11">
        <v>16</v>
      </c>
      <c r="I4" s="12" t="s">
        <v>58</v>
      </c>
      <c r="J4" s="13">
        <v>2</v>
      </c>
      <c r="K4" s="13">
        <f>J4*H4</f>
        <v>32</v>
      </c>
      <c r="L4" s="13">
        <v>42</v>
      </c>
      <c r="M4" s="13">
        <f>H4*2*3</f>
        <v>96</v>
      </c>
      <c r="N4" s="106"/>
      <c r="O4" s="107"/>
      <c r="P4" s="107"/>
      <c r="Q4" s="108"/>
    </row>
    <row r="5" spans="1:17" ht="14.25" customHeight="1" x14ac:dyDescent="0.2">
      <c r="A5" s="136"/>
      <c r="B5" s="53"/>
      <c r="C5" s="15"/>
      <c r="D5" s="14"/>
      <c r="E5" s="14"/>
      <c r="F5" s="15"/>
      <c r="G5" s="15"/>
      <c r="H5" s="11"/>
      <c r="I5" s="12"/>
      <c r="J5" s="13"/>
      <c r="K5" s="13"/>
      <c r="L5" s="13"/>
      <c r="M5" s="13"/>
      <c r="N5" s="106"/>
      <c r="O5" s="107"/>
      <c r="P5" s="107"/>
      <c r="Q5" s="108"/>
    </row>
    <row r="6" spans="1:17" ht="14.25" customHeight="1" x14ac:dyDescent="0.2">
      <c r="A6" s="136"/>
      <c r="B6" s="53"/>
      <c r="C6" s="15"/>
      <c r="D6" s="14"/>
      <c r="E6" s="14"/>
      <c r="F6" s="15"/>
      <c r="G6" s="15"/>
      <c r="H6" s="11"/>
      <c r="I6" s="12"/>
      <c r="J6" s="13"/>
      <c r="K6" s="13"/>
      <c r="L6" s="13"/>
      <c r="M6" s="13"/>
      <c r="N6" s="106"/>
      <c r="O6" s="107"/>
      <c r="P6" s="107"/>
      <c r="Q6" s="108"/>
    </row>
    <row r="7" spans="1:17" ht="54" customHeight="1" thickBot="1" x14ac:dyDescent="0.25">
      <c r="A7" s="136"/>
      <c r="B7" s="16"/>
      <c r="C7" s="16"/>
      <c r="D7" s="45"/>
      <c r="E7" s="45"/>
      <c r="F7" s="16"/>
      <c r="G7" s="16"/>
      <c r="H7" s="16"/>
      <c r="I7" s="26"/>
      <c r="J7" s="16"/>
      <c r="K7" s="16"/>
      <c r="L7" s="69"/>
      <c r="M7" s="16"/>
      <c r="N7" s="106"/>
      <c r="O7" s="107"/>
      <c r="P7" s="107"/>
      <c r="Q7" s="108"/>
    </row>
    <row r="8" spans="1:17" ht="15" x14ac:dyDescent="0.2">
      <c r="A8" s="70" t="s">
        <v>7</v>
      </c>
      <c r="B8" s="109" t="s">
        <v>31</v>
      </c>
      <c r="C8" s="109"/>
      <c r="D8" s="109"/>
      <c r="E8" s="71"/>
      <c r="F8" s="110" t="s">
        <v>34</v>
      </c>
      <c r="G8" s="110"/>
      <c r="H8" s="72"/>
      <c r="I8" s="122" t="s">
        <v>8</v>
      </c>
      <c r="J8" s="112"/>
      <c r="K8" s="36" t="s">
        <v>10</v>
      </c>
      <c r="L8" s="113" t="s">
        <v>15</v>
      </c>
      <c r="M8" s="112"/>
      <c r="N8" s="17" t="s">
        <v>11</v>
      </c>
      <c r="O8" s="17" t="s">
        <v>12</v>
      </c>
      <c r="P8" s="18" t="s">
        <v>29</v>
      </c>
      <c r="Q8" s="19"/>
    </row>
    <row r="9" spans="1:17" ht="15" thickBot="1" x14ac:dyDescent="0.25">
      <c r="A9" s="73"/>
      <c r="B9" s="114" t="s">
        <v>32</v>
      </c>
      <c r="C9" s="114"/>
      <c r="D9" s="114"/>
      <c r="E9" s="20"/>
      <c r="F9" s="115" t="s">
        <v>33</v>
      </c>
      <c r="G9" s="115"/>
      <c r="H9" s="74"/>
      <c r="I9" s="121" t="s">
        <v>64</v>
      </c>
      <c r="J9" s="117"/>
      <c r="K9" s="20">
        <v>26</v>
      </c>
      <c r="L9" s="118">
        <v>26</v>
      </c>
      <c r="M9" s="119"/>
      <c r="N9" s="5">
        <v>20</v>
      </c>
      <c r="O9" s="5">
        <f>N9*L9</f>
        <v>520</v>
      </c>
      <c r="P9" s="21">
        <f>SUM(M3:M6)*N9</f>
        <v>3840</v>
      </c>
      <c r="Q9" s="22"/>
    </row>
    <row r="10" spans="1:17" ht="15" thickBot="1" x14ac:dyDescent="0.25">
      <c r="A10" s="61"/>
      <c r="B10" s="62"/>
      <c r="C10" s="62"/>
      <c r="D10" s="62"/>
      <c r="E10" s="62"/>
      <c r="F10" s="62"/>
      <c r="G10" s="62"/>
      <c r="H10" s="62"/>
      <c r="I10" s="63"/>
      <c r="J10" s="62"/>
      <c r="K10" s="62"/>
      <c r="L10" s="64"/>
      <c r="M10" s="62"/>
      <c r="N10" s="62"/>
      <c r="O10" s="62"/>
      <c r="P10" s="62"/>
      <c r="Q10" s="65"/>
    </row>
    <row r="11" spans="1:17" ht="45.75" thickBot="1" x14ac:dyDescent="0.25">
      <c r="A11" s="7" t="s">
        <v>0</v>
      </c>
      <c r="B11" s="49" t="s">
        <v>1</v>
      </c>
      <c r="C11" s="49" t="s">
        <v>9</v>
      </c>
      <c r="D11" s="8" t="s">
        <v>13</v>
      </c>
      <c r="E11" s="8" t="s">
        <v>100</v>
      </c>
      <c r="F11" s="8" t="s">
        <v>5</v>
      </c>
      <c r="G11" s="8" t="s">
        <v>6</v>
      </c>
      <c r="H11" s="8" t="s">
        <v>2</v>
      </c>
      <c r="I11" s="49" t="s">
        <v>23</v>
      </c>
      <c r="J11" s="8" t="s">
        <v>3</v>
      </c>
      <c r="K11" s="8" t="s">
        <v>4</v>
      </c>
      <c r="L11" s="9" t="s">
        <v>25</v>
      </c>
      <c r="M11" s="8" t="s">
        <v>14</v>
      </c>
      <c r="N11" s="98" t="s">
        <v>9</v>
      </c>
      <c r="O11" s="99"/>
      <c r="P11" s="99"/>
      <c r="Q11" s="100"/>
    </row>
    <row r="12" spans="1:17" ht="69.75" customHeight="1" x14ac:dyDescent="0.2">
      <c r="A12" s="101" t="s">
        <v>185</v>
      </c>
      <c r="B12" s="40" t="s">
        <v>186</v>
      </c>
      <c r="C12" s="81" t="s">
        <v>150</v>
      </c>
      <c r="D12" s="24" t="s">
        <v>56</v>
      </c>
      <c r="E12" s="10" t="s">
        <v>99</v>
      </c>
      <c r="F12" s="25">
        <v>26.6</v>
      </c>
      <c r="G12" s="25">
        <v>7.2016999999999998</v>
      </c>
      <c r="H12" s="53">
        <v>16</v>
      </c>
      <c r="I12" s="52" t="s">
        <v>59</v>
      </c>
      <c r="J12" s="54">
        <v>2</v>
      </c>
      <c r="K12" s="54">
        <f>J12*H12</f>
        <v>32</v>
      </c>
      <c r="L12" s="54">
        <f>K12*1.3</f>
        <v>41.6</v>
      </c>
      <c r="M12" s="54">
        <f>K12*4</f>
        <v>128</v>
      </c>
      <c r="N12" s="103" t="s">
        <v>155</v>
      </c>
      <c r="O12" s="104"/>
      <c r="P12" s="104"/>
      <c r="Q12" s="105"/>
    </row>
    <row r="13" spans="1:17" ht="14.25" customHeight="1" x14ac:dyDescent="0.2">
      <c r="A13" s="102"/>
      <c r="B13" s="40" t="s">
        <v>186</v>
      </c>
      <c r="C13" s="40" t="s">
        <v>163</v>
      </c>
      <c r="D13" s="46">
        <v>24.4</v>
      </c>
      <c r="E13" s="10" t="s">
        <v>99</v>
      </c>
      <c r="F13" s="25">
        <v>17.7</v>
      </c>
      <c r="G13" s="25">
        <v>8.2017000000000007</v>
      </c>
      <c r="H13" s="53">
        <v>16</v>
      </c>
      <c r="I13" s="52" t="s">
        <v>141</v>
      </c>
      <c r="J13" s="54">
        <v>2</v>
      </c>
      <c r="K13" s="54">
        <f>J13*H13</f>
        <v>32</v>
      </c>
      <c r="L13" s="54">
        <f>K13*1.3</f>
        <v>41.6</v>
      </c>
      <c r="M13" s="54">
        <f>K13*4</f>
        <v>128</v>
      </c>
      <c r="N13" s="106"/>
      <c r="O13" s="107"/>
      <c r="P13" s="107"/>
      <c r="Q13" s="108"/>
    </row>
    <row r="14" spans="1:17" ht="14.25" customHeight="1" x14ac:dyDescent="0.2">
      <c r="A14" s="102"/>
      <c r="B14" s="1" t="s">
        <v>189</v>
      </c>
      <c r="C14" s="1" t="s">
        <v>190</v>
      </c>
      <c r="D14" s="1">
        <v>24.4</v>
      </c>
      <c r="E14" s="10" t="s">
        <v>99</v>
      </c>
      <c r="F14" s="1">
        <v>13.7</v>
      </c>
      <c r="G14" s="1">
        <v>9.2017000000000007</v>
      </c>
      <c r="H14" s="89">
        <v>16</v>
      </c>
      <c r="I14" s="52" t="s">
        <v>141</v>
      </c>
      <c r="J14" s="54">
        <v>2</v>
      </c>
      <c r="K14" s="54">
        <f>J14*H14</f>
        <v>32</v>
      </c>
      <c r="L14" s="54">
        <f>K14*1.3</f>
        <v>41.6</v>
      </c>
      <c r="M14" s="54" t="s">
        <v>191</v>
      </c>
      <c r="N14" s="106"/>
      <c r="O14" s="107"/>
      <c r="P14" s="107"/>
      <c r="Q14" s="108"/>
    </row>
    <row r="15" spans="1:17" ht="14.25" customHeight="1" x14ac:dyDescent="0.2">
      <c r="A15" s="102"/>
      <c r="B15" s="3" t="s">
        <v>186</v>
      </c>
      <c r="C15" s="3" t="s">
        <v>195</v>
      </c>
      <c r="D15" s="52">
        <v>15.6</v>
      </c>
      <c r="E15" s="10" t="s">
        <v>99</v>
      </c>
      <c r="F15" s="25" t="s">
        <v>125</v>
      </c>
      <c r="G15" s="25">
        <v>9.2017000000000007</v>
      </c>
      <c r="H15" s="53">
        <v>16</v>
      </c>
      <c r="I15" s="26" t="s">
        <v>62</v>
      </c>
      <c r="J15" s="54">
        <v>2</v>
      </c>
      <c r="K15" s="54">
        <f>J15*H15</f>
        <v>32</v>
      </c>
      <c r="L15" s="54">
        <f>K15*1.3</f>
        <v>41.6</v>
      </c>
      <c r="M15" s="54">
        <f>K15*4</f>
        <v>128</v>
      </c>
      <c r="N15" s="106"/>
      <c r="O15" s="107"/>
      <c r="P15" s="107"/>
      <c r="Q15" s="108"/>
    </row>
    <row r="16" spans="1:17" ht="14.25" customHeight="1" thickBot="1" x14ac:dyDescent="0.25">
      <c r="A16" s="66"/>
      <c r="B16" s="40" t="s">
        <v>216</v>
      </c>
      <c r="C16" s="40" t="s">
        <v>196</v>
      </c>
      <c r="D16" s="47">
        <v>26.6</v>
      </c>
      <c r="E16" s="10" t="s">
        <v>99</v>
      </c>
      <c r="F16" s="25" t="s">
        <v>187</v>
      </c>
      <c r="G16" s="25"/>
      <c r="H16" s="53">
        <v>16</v>
      </c>
      <c r="I16" s="26" t="s">
        <v>188</v>
      </c>
      <c r="J16" s="54">
        <v>2</v>
      </c>
      <c r="K16" s="54">
        <f>J16*H16</f>
        <v>32</v>
      </c>
      <c r="L16" s="54">
        <f>K16*1.3</f>
        <v>41.6</v>
      </c>
      <c r="M16" s="54">
        <f>K16*4</f>
        <v>128</v>
      </c>
      <c r="N16" s="50"/>
      <c r="O16" s="51"/>
      <c r="P16" s="51"/>
      <c r="Q16" s="67"/>
    </row>
    <row r="17" spans="1:17" ht="15" customHeight="1" x14ac:dyDescent="0.2">
      <c r="A17" s="27" t="s">
        <v>7</v>
      </c>
      <c r="B17" s="120" t="s">
        <v>31</v>
      </c>
      <c r="C17" s="120"/>
      <c r="D17" s="109"/>
      <c r="E17" s="71"/>
      <c r="F17" s="110" t="s">
        <v>34</v>
      </c>
      <c r="G17" s="110"/>
      <c r="H17" s="17"/>
      <c r="I17" s="110" t="s">
        <v>8</v>
      </c>
      <c r="J17" s="110"/>
      <c r="K17" s="36" t="s">
        <v>10</v>
      </c>
      <c r="L17" s="113" t="s">
        <v>15</v>
      </c>
      <c r="M17" s="112"/>
      <c r="N17" s="17" t="s">
        <v>11</v>
      </c>
      <c r="O17" s="17" t="s">
        <v>12</v>
      </c>
      <c r="P17" s="18" t="s">
        <v>29</v>
      </c>
      <c r="Q17" s="19"/>
    </row>
    <row r="18" spans="1:17" ht="15" thickBot="1" x14ac:dyDescent="0.25">
      <c r="A18" s="28"/>
      <c r="B18" s="114" t="s">
        <v>35</v>
      </c>
      <c r="C18" s="114"/>
      <c r="D18" s="114"/>
      <c r="E18" s="20"/>
      <c r="F18" s="115" t="s">
        <v>36</v>
      </c>
      <c r="G18" s="115"/>
      <c r="H18" s="68"/>
      <c r="I18" s="127" t="s">
        <v>63</v>
      </c>
      <c r="J18" s="115"/>
      <c r="K18" s="20">
        <f>SUM(H12:H16)</f>
        <v>80</v>
      </c>
      <c r="L18" s="118">
        <f>M12</f>
        <v>128</v>
      </c>
      <c r="M18" s="119"/>
      <c r="N18" s="5">
        <v>8</v>
      </c>
      <c r="O18" s="5">
        <f>N18*L18</f>
        <v>1024</v>
      </c>
      <c r="P18" s="21">
        <f>O18*5</f>
        <v>5120</v>
      </c>
      <c r="Q18" s="22"/>
    </row>
    <row r="19" spans="1:17" ht="15" thickBot="1" x14ac:dyDescent="0.25">
      <c r="A19" s="61"/>
      <c r="B19" s="62"/>
      <c r="C19" s="62"/>
      <c r="D19" s="62"/>
      <c r="E19" s="62"/>
      <c r="F19" s="62"/>
      <c r="G19" s="62"/>
      <c r="H19" s="62"/>
      <c r="I19" s="63"/>
      <c r="J19" s="62"/>
      <c r="K19" s="62"/>
      <c r="L19" s="64"/>
      <c r="M19" s="62"/>
      <c r="N19" s="62"/>
      <c r="O19" s="62"/>
      <c r="P19" s="62"/>
      <c r="Q19" s="65"/>
    </row>
    <row r="20" spans="1:17" ht="45.75" thickBot="1" x14ac:dyDescent="0.25">
      <c r="A20" s="7" t="s">
        <v>0</v>
      </c>
      <c r="B20" s="49" t="s">
        <v>1</v>
      </c>
      <c r="C20" s="8" t="s">
        <v>9</v>
      </c>
      <c r="D20" s="49" t="s">
        <v>13</v>
      </c>
      <c r="E20" s="8" t="s">
        <v>100</v>
      </c>
      <c r="F20" s="8" t="s">
        <v>5</v>
      </c>
      <c r="G20" s="8" t="s">
        <v>6</v>
      </c>
      <c r="H20" s="8" t="s">
        <v>2</v>
      </c>
      <c r="I20" s="49" t="s">
        <v>23</v>
      </c>
      <c r="J20" s="8" t="s">
        <v>3</v>
      </c>
      <c r="K20" s="8" t="s">
        <v>4</v>
      </c>
      <c r="L20" s="9" t="s">
        <v>25</v>
      </c>
      <c r="M20" s="8" t="s">
        <v>14</v>
      </c>
      <c r="N20" s="98" t="s">
        <v>9</v>
      </c>
      <c r="O20" s="99"/>
      <c r="P20" s="99"/>
      <c r="Q20" s="100"/>
    </row>
    <row r="21" spans="1:17" x14ac:dyDescent="0.2">
      <c r="A21" s="101" t="s">
        <v>17</v>
      </c>
      <c r="B21" s="40" t="s">
        <v>126</v>
      </c>
      <c r="C21" s="40" t="s">
        <v>156</v>
      </c>
      <c r="D21" s="4" t="s">
        <v>123</v>
      </c>
      <c r="E21" s="24" t="s">
        <v>127</v>
      </c>
      <c r="F21" s="25">
        <v>7.2016999999999998</v>
      </c>
      <c r="G21" s="25">
        <v>11.201700000000001</v>
      </c>
      <c r="H21" s="53">
        <v>32</v>
      </c>
      <c r="I21" s="52" t="s">
        <v>128</v>
      </c>
      <c r="J21" s="29">
        <v>2.5</v>
      </c>
      <c r="K21" s="54">
        <f>J21*H21</f>
        <v>80</v>
      </c>
      <c r="L21" s="54">
        <v>90</v>
      </c>
      <c r="M21" s="54">
        <f>1.5*H21</f>
        <v>48</v>
      </c>
      <c r="N21" s="103" t="s">
        <v>66</v>
      </c>
      <c r="O21" s="104"/>
      <c r="P21" s="104"/>
      <c r="Q21" s="105"/>
    </row>
    <row r="22" spans="1:17" ht="14.25" customHeight="1" x14ac:dyDescent="0.2">
      <c r="A22" s="102"/>
      <c r="B22" s="40" t="s">
        <v>151</v>
      </c>
      <c r="C22" s="40" t="s">
        <v>197</v>
      </c>
      <c r="D22" s="4">
        <v>11.5</v>
      </c>
      <c r="E22" s="24" t="s">
        <v>99</v>
      </c>
      <c r="F22" s="25" t="s">
        <v>120</v>
      </c>
      <c r="G22" s="25">
        <v>11.201700000000001</v>
      </c>
      <c r="H22" s="53">
        <v>16</v>
      </c>
      <c r="I22" s="52" t="s">
        <v>152</v>
      </c>
      <c r="J22" s="29">
        <v>5</v>
      </c>
      <c r="K22" s="54">
        <f>J22*H22</f>
        <v>80</v>
      </c>
      <c r="L22" s="54">
        <v>90</v>
      </c>
      <c r="M22" s="54">
        <f>1.5*H22</f>
        <v>24</v>
      </c>
      <c r="N22" s="106"/>
      <c r="O22" s="107"/>
      <c r="P22" s="107"/>
      <c r="Q22" s="108"/>
    </row>
    <row r="23" spans="1:17" ht="14.25" customHeight="1" thickBot="1" x14ac:dyDescent="0.25">
      <c r="A23" s="102"/>
      <c r="B23" s="75"/>
      <c r="C23" s="78"/>
      <c r="D23" s="38"/>
      <c r="E23" s="38"/>
      <c r="F23" s="25"/>
      <c r="G23" s="25"/>
      <c r="H23" s="25"/>
      <c r="I23" s="39"/>
      <c r="J23" s="30"/>
      <c r="K23" s="30"/>
      <c r="L23" s="30"/>
      <c r="M23" s="30"/>
      <c r="N23" s="106"/>
      <c r="O23" s="107"/>
      <c r="P23" s="107"/>
      <c r="Q23" s="108"/>
    </row>
    <row r="24" spans="1:17" ht="14.25" customHeight="1" x14ac:dyDescent="0.2">
      <c r="A24" s="27" t="s">
        <v>7</v>
      </c>
      <c r="B24" s="109" t="s">
        <v>31</v>
      </c>
      <c r="C24" s="109"/>
      <c r="D24" s="109"/>
      <c r="E24" s="71"/>
      <c r="F24" s="110" t="s">
        <v>34</v>
      </c>
      <c r="G24" s="110"/>
      <c r="H24" s="17"/>
      <c r="I24" s="111" t="s">
        <v>8</v>
      </c>
      <c r="J24" s="112"/>
      <c r="K24" s="36" t="s">
        <v>10</v>
      </c>
      <c r="L24" s="113" t="s">
        <v>15</v>
      </c>
      <c r="M24" s="112"/>
      <c r="N24" s="17" t="s">
        <v>11</v>
      </c>
      <c r="O24" s="17" t="s">
        <v>12</v>
      </c>
      <c r="P24" s="18" t="s">
        <v>29</v>
      </c>
      <c r="Q24" s="19"/>
    </row>
    <row r="25" spans="1:17" ht="15" customHeight="1" thickBot="1" x14ac:dyDescent="0.25">
      <c r="A25" s="28"/>
      <c r="B25" s="114" t="s">
        <v>35</v>
      </c>
      <c r="C25" s="114"/>
      <c r="D25" s="114"/>
      <c r="E25" s="20"/>
      <c r="F25" s="115" t="s">
        <v>37</v>
      </c>
      <c r="G25" s="115"/>
      <c r="H25" s="68"/>
      <c r="I25" s="116" t="s">
        <v>82</v>
      </c>
      <c r="J25" s="117"/>
      <c r="K25" s="20">
        <f>SUM(H21:H23)</f>
        <v>48</v>
      </c>
      <c r="L25" s="118">
        <f>M21</f>
        <v>48</v>
      </c>
      <c r="M25" s="119"/>
      <c r="N25" s="5">
        <v>10</v>
      </c>
      <c r="O25" s="5">
        <f>N25*L25</f>
        <v>480</v>
      </c>
      <c r="P25" s="21">
        <f>O25*5</f>
        <v>2400</v>
      </c>
      <c r="Q25" s="22"/>
    </row>
    <row r="26" spans="1:17" ht="15" thickBot="1" x14ac:dyDescent="0.25">
      <c r="A26" s="61"/>
      <c r="B26" s="62"/>
      <c r="C26" s="62"/>
      <c r="D26" s="62"/>
      <c r="E26" s="62"/>
      <c r="F26" s="62"/>
      <c r="G26" s="62"/>
      <c r="H26" s="62"/>
      <c r="I26" s="63"/>
      <c r="J26" s="62"/>
      <c r="K26" s="62"/>
      <c r="L26" s="64"/>
      <c r="M26" s="62"/>
      <c r="N26" s="62"/>
      <c r="O26" s="62"/>
      <c r="P26" s="62"/>
      <c r="Q26" s="65"/>
    </row>
    <row r="27" spans="1:17" ht="45.75" thickBot="1" x14ac:dyDescent="0.25">
      <c r="A27" s="7" t="s">
        <v>0</v>
      </c>
      <c r="B27" s="8" t="s">
        <v>1</v>
      </c>
      <c r="C27" s="8" t="s">
        <v>9</v>
      </c>
      <c r="D27" s="8" t="s">
        <v>13</v>
      </c>
      <c r="E27" s="8" t="s">
        <v>100</v>
      </c>
      <c r="F27" s="8" t="s">
        <v>5</v>
      </c>
      <c r="G27" s="8" t="s">
        <v>6</v>
      </c>
      <c r="H27" s="8" t="s">
        <v>2</v>
      </c>
      <c r="I27" s="49" t="s">
        <v>23</v>
      </c>
      <c r="J27" s="8" t="s">
        <v>3</v>
      </c>
      <c r="K27" s="8" t="s">
        <v>4</v>
      </c>
      <c r="L27" s="9" t="s">
        <v>25</v>
      </c>
      <c r="M27" s="8" t="s">
        <v>14</v>
      </c>
      <c r="N27" s="98" t="s">
        <v>9</v>
      </c>
      <c r="O27" s="99"/>
      <c r="P27" s="99"/>
      <c r="Q27" s="100"/>
    </row>
    <row r="28" spans="1:17" x14ac:dyDescent="0.2">
      <c r="A28" s="101" t="s">
        <v>18</v>
      </c>
      <c r="B28" s="1" t="s">
        <v>129</v>
      </c>
      <c r="C28" s="23" t="s">
        <v>67</v>
      </c>
      <c r="D28" s="4" t="s">
        <v>123</v>
      </c>
      <c r="E28" s="24" t="s">
        <v>127</v>
      </c>
      <c r="F28" s="25">
        <v>26.6</v>
      </c>
      <c r="G28" s="25">
        <v>12.201599999999999</v>
      </c>
      <c r="H28" s="53">
        <v>16</v>
      </c>
      <c r="I28" s="52" t="s">
        <v>57</v>
      </c>
      <c r="J28" s="29">
        <v>2</v>
      </c>
      <c r="K28" s="54">
        <f>J28*H28</f>
        <v>32</v>
      </c>
      <c r="L28" s="54">
        <f>1.3*K28</f>
        <v>41.6</v>
      </c>
      <c r="M28" s="54">
        <f>H28*2</f>
        <v>32</v>
      </c>
      <c r="N28" s="103" t="s">
        <v>198</v>
      </c>
      <c r="O28" s="104"/>
      <c r="P28" s="104"/>
      <c r="Q28" s="105"/>
    </row>
    <row r="29" spans="1:17" x14ac:dyDescent="0.2">
      <c r="A29" s="102"/>
      <c r="B29" s="40" t="s">
        <v>143</v>
      </c>
      <c r="C29" s="40"/>
      <c r="D29" s="4" t="s">
        <v>142</v>
      </c>
      <c r="E29" s="24" t="s">
        <v>127</v>
      </c>
      <c r="F29" s="25" t="s">
        <v>124</v>
      </c>
      <c r="G29" s="25">
        <v>12.201599999999999</v>
      </c>
      <c r="H29" s="53">
        <v>16</v>
      </c>
      <c r="I29" s="52" t="s">
        <v>144</v>
      </c>
      <c r="J29" s="29">
        <v>2</v>
      </c>
      <c r="K29" s="54">
        <f>J29*H29</f>
        <v>32</v>
      </c>
      <c r="L29" s="54">
        <f>1.3*K29</f>
        <v>41.6</v>
      </c>
      <c r="M29" s="54">
        <f>H29*2</f>
        <v>32</v>
      </c>
      <c r="N29" s="106"/>
      <c r="O29" s="107"/>
      <c r="P29" s="107"/>
      <c r="Q29" s="108"/>
    </row>
    <row r="30" spans="1:17" ht="15" thickBot="1" x14ac:dyDescent="0.25">
      <c r="A30" s="102"/>
      <c r="B30" s="75"/>
      <c r="C30" s="75"/>
      <c r="D30" s="24"/>
      <c r="E30" s="24"/>
      <c r="F30" s="25"/>
      <c r="G30" s="25"/>
      <c r="H30" s="25"/>
      <c r="I30" s="39"/>
      <c r="J30" s="30"/>
      <c r="K30" s="30"/>
      <c r="L30" s="30"/>
      <c r="M30" s="30"/>
      <c r="N30" s="106"/>
      <c r="O30" s="107"/>
      <c r="P30" s="107"/>
      <c r="Q30" s="108"/>
    </row>
    <row r="31" spans="1:17" ht="15" x14ac:dyDescent="0.2">
      <c r="A31" s="27" t="s">
        <v>7</v>
      </c>
      <c r="B31" s="109" t="s">
        <v>31</v>
      </c>
      <c r="C31" s="109"/>
      <c r="D31" s="109"/>
      <c r="E31" s="71"/>
      <c r="F31" s="110" t="s">
        <v>34</v>
      </c>
      <c r="G31" s="110"/>
      <c r="H31" s="17"/>
      <c r="I31" s="111" t="s">
        <v>8</v>
      </c>
      <c r="J31" s="112"/>
      <c r="K31" s="36" t="s">
        <v>10</v>
      </c>
      <c r="L31" s="113" t="s">
        <v>15</v>
      </c>
      <c r="M31" s="112"/>
      <c r="N31" s="17" t="s">
        <v>11</v>
      </c>
      <c r="O31" s="17" t="s">
        <v>12</v>
      </c>
      <c r="P31" s="18" t="s">
        <v>29</v>
      </c>
      <c r="Q31" s="19"/>
    </row>
    <row r="32" spans="1:17" ht="15" thickBot="1" x14ac:dyDescent="0.25">
      <c r="A32" s="28"/>
      <c r="B32" s="114" t="s">
        <v>38</v>
      </c>
      <c r="C32" s="114"/>
      <c r="D32" s="114"/>
      <c r="E32" s="20"/>
      <c r="F32" s="115" t="s">
        <v>39</v>
      </c>
      <c r="G32" s="115"/>
      <c r="H32" s="68"/>
      <c r="I32" s="116" t="s">
        <v>81</v>
      </c>
      <c r="J32" s="117"/>
      <c r="K32" s="20">
        <f>SUM(H28:H28)</f>
        <v>16</v>
      </c>
      <c r="L32" s="118">
        <f>M28</f>
        <v>32</v>
      </c>
      <c r="M32" s="119"/>
      <c r="N32" s="5">
        <v>7</v>
      </c>
      <c r="O32" s="5">
        <f>N32*L32</f>
        <v>224</v>
      </c>
      <c r="P32" s="5">
        <f>O32*6</f>
        <v>1344</v>
      </c>
      <c r="Q32" s="22"/>
    </row>
    <row r="33" spans="1:17" ht="15" thickBot="1" x14ac:dyDescent="0.25">
      <c r="A33" s="61"/>
      <c r="B33" s="62"/>
      <c r="C33" s="62"/>
      <c r="D33" s="62"/>
      <c r="E33" s="62"/>
      <c r="F33" s="62"/>
      <c r="G33" s="62"/>
      <c r="H33" s="62"/>
      <c r="I33" s="63"/>
      <c r="J33" s="62"/>
      <c r="K33" s="62"/>
      <c r="L33" s="64"/>
      <c r="M33" s="62"/>
      <c r="N33" s="62"/>
      <c r="O33" s="62"/>
      <c r="P33" s="62"/>
      <c r="Q33" s="65"/>
    </row>
    <row r="34" spans="1:17" ht="45.75" thickBot="1" x14ac:dyDescent="0.25">
      <c r="A34" s="7" t="s">
        <v>0</v>
      </c>
      <c r="B34" s="8" t="s">
        <v>1</v>
      </c>
      <c r="C34" s="8" t="s">
        <v>9</v>
      </c>
      <c r="D34" s="8" t="s">
        <v>13</v>
      </c>
      <c r="E34" s="8" t="s">
        <v>100</v>
      </c>
      <c r="F34" s="8" t="s">
        <v>5</v>
      </c>
      <c r="G34" s="8" t="s">
        <v>6</v>
      </c>
      <c r="H34" s="8" t="s">
        <v>2</v>
      </c>
      <c r="I34" s="49" t="s">
        <v>23</v>
      </c>
      <c r="J34" s="8" t="s">
        <v>3</v>
      </c>
      <c r="K34" s="8" t="s">
        <v>4</v>
      </c>
      <c r="L34" s="9" t="s">
        <v>25</v>
      </c>
      <c r="M34" s="8" t="s">
        <v>27</v>
      </c>
      <c r="N34" s="98" t="s">
        <v>9</v>
      </c>
      <c r="O34" s="99"/>
      <c r="P34" s="99"/>
      <c r="Q34" s="100"/>
    </row>
    <row r="35" spans="1:17" x14ac:dyDescent="0.2">
      <c r="A35" s="101" t="s">
        <v>19</v>
      </c>
      <c r="B35" s="23" t="s">
        <v>101</v>
      </c>
      <c r="C35" s="23" t="s">
        <v>199</v>
      </c>
      <c r="D35" s="31" t="s">
        <v>98</v>
      </c>
      <c r="E35" s="31" t="s">
        <v>99</v>
      </c>
      <c r="F35" s="25" t="s">
        <v>157</v>
      </c>
      <c r="G35" s="25">
        <v>10.201700000000001</v>
      </c>
      <c r="H35" s="53">
        <v>16</v>
      </c>
      <c r="I35" s="52" t="s">
        <v>69</v>
      </c>
      <c r="J35" s="29">
        <v>26.66</v>
      </c>
      <c r="K35" s="54">
        <f>J35*H35</f>
        <v>426.56</v>
      </c>
      <c r="L35" s="54">
        <f>1.3*K35</f>
        <v>554.52800000000002</v>
      </c>
      <c r="M35" s="54">
        <f>10*H35</f>
        <v>160</v>
      </c>
      <c r="N35" s="103" t="s">
        <v>158</v>
      </c>
      <c r="O35" s="104"/>
      <c r="P35" s="104"/>
      <c r="Q35" s="105"/>
    </row>
    <row r="36" spans="1:17" x14ac:dyDescent="0.2">
      <c r="A36" s="102"/>
      <c r="B36" s="23"/>
      <c r="C36" s="23"/>
      <c r="D36" s="44"/>
      <c r="E36" s="55"/>
      <c r="F36" s="25"/>
      <c r="G36" s="25"/>
      <c r="H36" s="53"/>
      <c r="I36" s="52"/>
      <c r="J36" s="29"/>
      <c r="K36" s="54"/>
      <c r="L36" s="54"/>
      <c r="M36" s="54"/>
      <c r="N36" s="106"/>
      <c r="O36" s="107"/>
      <c r="P36" s="107"/>
      <c r="Q36" s="108"/>
    </row>
    <row r="37" spans="1:17" ht="15" thickBot="1" x14ac:dyDescent="0.25">
      <c r="A37" s="102"/>
      <c r="B37" s="23"/>
      <c r="C37" s="23"/>
      <c r="D37" s="24"/>
      <c r="E37" s="24"/>
      <c r="F37" s="25"/>
      <c r="G37" s="25"/>
      <c r="H37" s="25"/>
      <c r="I37" s="39"/>
      <c r="J37" s="30"/>
      <c r="K37" s="30"/>
      <c r="L37" s="30"/>
      <c r="M37" s="30"/>
      <c r="N37" s="106"/>
      <c r="O37" s="107"/>
      <c r="P37" s="107"/>
      <c r="Q37" s="108"/>
    </row>
    <row r="38" spans="1:17" ht="15" x14ac:dyDescent="0.2">
      <c r="A38" s="27" t="s">
        <v>7</v>
      </c>
      <c r="B38" s="109" t="s">
        <v>31</v>
      </c>
      <c r="C38" s="109"/>
      <c r="D38" s="109"/>
      <c r="E38" s="71"/>
      <c r="F38" s="110" t="s">
        <v>34</v>
      </c>
      <c r="G38" s="110"/>
      <c r="H38" s="17"/>
      <c r="I38" s="111" t="s">
        <v>8</v>
      </c>
      <c r="J38" s="112"/>
      <c r="K38" s="36" t="s">
        <v>10</v>
      </c>
      <c r="L38" s="113" t="s">
        <v>15</v>
      </c>
      <c r="M38" s="112"/>
      <c r="N38" s="17" t="s">
        <v>28</v>
      </c>
      <c r="O38" s="17" t="s">
        <v>12</v>
      </c>
      <c r="P38" s="18" t="s">
        <v>29</v>
      </c>
      <c r="Q38" s="19"/>
    </row>
    <row r="39" spans="1:17" ht="15" thickBot="1" x14ac:dyDescent="0.25">
      <c r="A39" s="28"/>
      <c r="B39" s="114" t="s">
        <v>83</v>
      </c>
      <c r="C39" s="114"/>
      <c r="D39" s="114"/>
      <c r="E39" s="20"/>
      <c r="F39" s="115" t="s">
        <v>33</v>
      </c>
      <c r="G39" s="115"/>
      <c r="H39" s="68"/>
      <c r="I39" s="116" t="s">
        <v>80</v>
      </c>
      <c r="J39" s="117"/>
      <c r="K39" s="20">
        <f>SUM(H35:H37)</f>
        <v>16</v>
      </c>
      <c r="L39" s="118">
        <f>M35</f>
        <v>160</v>
      </c>
      <c r="M39" s="119"/>
      <c r="N39" s="5">
        <v>5</v>
      </c>
      <c r="O39" s="5">
        <f>N39*L39</f>
        <v>800</v>
      </c>
      <c r="P39" s="5">
        <f>O39*6</f>
        <v>4800</v>
      </c>
      <c r="Q39" s="22"/>
    </row>
    <row r="40" spans="1:17" ht="15" thickBot="1" x14ac:dyDescent="0.25">
      <c r="A40" s="61"/>
      <c r="B40" s="62"/>
      <c r="C40" s="62"/>
      <c r="D40" s="62"/>
      <c r="E40" s="62"/>
      <c r="F40" s="62"/>
      <c r="G40" s="62"/>
      <c r="H40" s="62"/>
      <c r="I40" s="63"/>
      <c r="J40" s="62"/>
      <c r="K40" s="62"/>
      <c r="L40" s="64"/>
      <c r="M40" s="62"/>
      <c r="N40" s="62"/>
      <c r="O40" s="62"/>
      <c r="P40" s="62"/>
      <c r="Q40" s="65"/>
    </row>
    <row r="41" spans="1:17" ht="45.75" thickBot="1" x14ac:dyDescent="0.25">
      <c r="A41" s="7" t="s">
        <v>0</v>
      </c>
      <c r="B41" s="49" t="s">
        <v>1</v>
      </c>
      <c r="C41" s="49" t="s">
        <v>9</v>
      </c>
      <c r="D41" s="8" t="s">
        <v>13</v>
      </c>
      <c r="E41" s="49" t="s">
        <v>100</v>
      </c>
      <c r="F41" s="49" t="s">
        <v>5</v>
      </c>
      <c r="G41" s="8" t="s">
        <v>6</v>
      </c>
      <c r="H41" s="8" t="s">
        <v>2</v>
      </c>
      <c r="I41" s="49" t="s">
        <v>23</v>
      </c>
      <c r="J41" s="8" t="s">
        <v>3</v>
      </c>
      <c r="K41" s="8" t="s">
        <v>4</v>
      </c>
      <c r="L41" s="9" t="s">
        <v>52</v>
      </c>
      <c r="M41" s="8" t="s">
        <v>54</v>
      </c>
      <c r="N41" s="123" t="s">
        <v>9</v>
      </c>
      <c r="O41" s="124"/>
      <c r="P41" s="124"/>
      <c r="Q41" s="125"/>
    </row>
    <row r="42" spans="1:17" ht="142.5" x14ac:dyDescent="0.2">
      <c r="A42" s="101" t="s">
        <v>21</v>
      </c>
      <c r="B42" s="40" t="s">
        <v>50</v>
      </c>
      <c r="C42" s="79" t="s">
        <v>180</v>
      </c>
      <c r="D42" s="24" t="s">
        <v>51</v>
      </c>
      <c r="E42" s="4" t="s">
        <v>98</v>
      </c>
      <c r="F42" s="82">
        <v>19.600000000000001</v>
      </c>
      <c r="G42" s="42">
        <v>8.2015999999999991</v>
      </c>
      <c r="H42" s="25">
        <v>32</v>
      </c>
      <c r="I42" s="26" t="s">
        <v>70</v>
      </c>
      <c r="J42" s="35">
        <v>2</v>
      </c>
      <c r="K42" s="30">
        <f>J42*H42</f>
        <v>64</v>
      </c>
      <c r="L42" s="30">
        <f>2*K42</f>
        <v>128</v>
      </c>
      <c r="M42" s="32">
        <f>2.3*H42</f>
        <v>73.599999999999994</v>
      </c>
      <c r="N42" s="107" t="s">
        <v>184</v>
      </c>
      <c r="O42" s="134"/>
      <c r="P42" s="134"/>
      <c r="Q42" s="135"/>
    </row>
    <row r="43" spans="1:17" ht="14.25" customHeight="1" x14ac:dyDescent="0.2">
      <c r="A43" s="102"/>
      <c r="B43" s="3" t="s">
        <v>53</v>
      </c>
      <c r="C43" s="3" t="s">
        <v>200</v>
      </c>
      <c r="D43" s="24" t="s">
        <v>102</v>
      </c>
      <c r="E43" s="14" t="s">
        <v>99</v>
      </c>
      <c r="F43" s="42">
        <v>5.6</v>
      </c>
      <c r="G43" s="53">
        <v>6.2016999999999998</v>
      </c>
      <c r="H43" s="53">
        <v>16</v>
      </c>
      <c r="I43" s="52" t="s">
        <v>71</v>
      </c>
      <c r="J43" s="29">
        <v>2</v>
      </c>
      <c r="K43" s="54">
        <f>J43*H43</f>
        <v>32</v>
      </c>
      <c r="L43" s="30">
        <f>2*K43</f>
        <v>64</v>
      </c>
      <c r="M43" s="41">
        <f>2.3*H43</f>
        <v>36.799999999999997</v>
      </c>
      <c r="N43" s="134"/>
      <c r="O43" s="134"/>
      <c r="P43" s="134"/>
      <c r="Q43" s="135"/>
    </row>
    <row r="44" spans="1:17" ht="14.25" customHeight="1" x14ac:dyDescent="0.2">
      <c r="A44" s="102"/>
      <c r="B44" s="3"/>
      <c r="C44" s="3"/>
      <c r="D44" s="44"/>
      <c r="E44" s="44"/>
      <c r="F44" s="53"/>
      <c r="G44" s="53"/>
      <c r="H44" s="53"/>
      <c r="I44" s="52"/>
      <c r="J44" s="29"/>
      <c r="K44" s="54"/>
      <c r="L44" s="54"/>
      <c r="M44" s="54"/>
      <c r="N44" s="134"/>
      <c r="O44" s="134"/>
      <c r="P44" s="134"/>
      <c r="Q44" s="135"/>
    </row>
    <row r="45" spans="1:17" s="2" customFormat="1" ht="14.25" customHeight="1" thickBot="1" x14ac:dyDescent="0.25">
      <c r="A45" s="102"/>
      <c r="B45" s="25"/>
      <c r="C45" s="25"/>
      <c r="D45" s="25"/>
      <c r="E45" s="25"/>
      <c r="F45" s="25"/>
      <c r="G45" s="25"/>
      <c r="H45" s="25"/>
      <c r="I45" s="26"/>
      <c r="J45" s="25"/>
      <c r="K45" s="25"/>
      <c r="L45" s="30"/>
      <c r="M45" s="30"/>
      <c r="N45" s="134"/>
      <c r="O45" s="134"/>
      <c r="P45" s="134"/>
      <c r="Q45" s="135"/>
    </row>
    <row r="46" spans="1:17" ht="15" x14ac:dyDescent="0.2">
      <c r="A46" s="27" t="s">
        <v>7</v>
      </c>
      <c r="B46" s="109" t="s">
        <v>31</v>
      </c>
      <c r="C46" s="109"/>
      <c r="D46" s="109"/>
      <c r="E46" s="71"/>
      <c r="F46" s="110" t="s">
        <v>34</v>
      </c>
      <c r="G46" s="110"/>
      <c r="H46" s="17"/>
      <c r="I46" s="110" t="s">
        <v>8</v>
      </c>
      <c r="J46" s="110"/>
      <c r="K46" s="17" t="s">
        <v>10</v>
      </c>
      <c r="L46" s="110" t="s">
        <v>72</v>
      </c>
      <c r="M46" s="110"/>
      <c r="N46" s="37" t="s">
        <v>11</v>
      </c>
      <c r="O46" s="17" t="s">
        <v>12</v>
      </c>
      <c r="P46" s="18" t="s">
        <v>29</v>
      </c>
      <c r="Q46" s="19"/>
    </row>
    <row r="47" spans="1:17" ht="15" thickBot="1" x14ac:dyDescent="0.25">
      <c r="A47" s="28"/>
      <c r="B47" s="114" t="s">
        <v>32</v>
      </c>
      <c r="C47" s="114"/>
      <c r="D47" s="114"/>
      <c r="E47" s="20"/>
      <c r="F47" s="115" t="s">
        <v>40</v>
      </c>
      <c r="G47" s="115"/>
      <c r="H47" s="68"/>
      <c r="I47" s="115" t="s">
        <v>63</v>
      </c>
      <c r="J47" s="115"/>
      <c r="K47" s="20">
        <f>SUM(H42:H45)</f>
        <v>48</v>
      </c>
      <c r="L47" s="126">
        <f>M42+M43</f>
        <v>110.39999999999999</v>
      </c>
      <c r="M47" s="126"/>
      <c r="N47" s="48">
        <v>10</v>
      </c>
      <c r="O47" s="5">
        <f>N47*L47</f>
        <v>1104</v>
      </c>
      <c r="P47" s="5">
        <f>O47</f>
        <v>1104</v>
      </c>
      <c r="Q47" s="22"/>
    </row>
    <row r="48" spans="1:17" ht="15" thickBot="1" x14ac:dyDescent="0.25">
      <c r="A48" s="61"/>
      <c r="B48" s="62"/>
      <c r="C48" s="62"/>
      <c r="D48" s="62"/>
      <c r="E48" s="62"/>
      <c r="F48" s="62"/>
      <c r="G48" s="62"/>
      <c r="H48" s="62"/>
      <c r="I48" s="63"/>
      <c r="J48" s="62"/>
      <c r="K48" s="62"/>
      <c r="L48" s="64"/>
      <c r="M48" s="62"/>
      <c r="N48" s="62"/>
      <c r="O48" s="62"/>
      <c r="P48" s="62"/>
      <c r="Q48" s="65"/>
    </row>
    <row r="49" spans="1:17" ht="45.75" thickBot="1" x14ac:dyDescent="0.25">
      <c r="A49" s="7" t="s">
        <v>0</v>
      </c>
      <c r="B49" s="8" t="s">
        <v>1</v>
      </c>
      <c r="C49" s="8" t="s">
        <v>9</v>
      </c>
      <c r="D49" s="8" t="s">
        <v>13</v>
      </c>
      <c r="E49" s="8" t="s">
        <v>100</v>
      </c>
      <c r="F49" s="8" t="s">
        <v>5</v>
      </c>
      <c r="G49" s="8" t="s">
        <v>6</v>
      </c>
      <c r="H49" s="8" t="s">
        <v>2</v>
      </c>
      <c r="I49" s="49" t="s">
        <v>23</v>
      </c>
      <c r="J49" s="8" t="s">
        <v>3</v>
      </c>
      <c r="K49" s="8" t="s">
        <v>4</v>
      </c>
      <c r="L49" s="9" t="s">
        <v>52</v>
      </c>
      <c r="M49" s="8" t="s">
        <v>14</v>
      </c>
      <c r="N49" s="98" t="s">
        <v>9</v>
      </c>
      <c r="O49" s="99"/>
      <c r="P49" s="99"/>
      <c r="Q49" s="100"/>
    </row>
    <row r="50" spans="1:17" x14ac:dyDescent="0.2">
      <c r="A50" s="101" t="s">
        <v>73</v>
      </c>
      <c r="B50" s="6" t="s">
        <v>49</v>
      </c>
      <c r="C50" s="6" t="s">
        <v>164</v>
      </c>
      <c r="D50" s="24" t="s">
        <v>51</v>
      </c>
      <c r="E50" s="24" t="s">
        <v>98</v>
      </c>
      <c r="F50" s="25" t="s">
        <v>153</v>
      </c>
      <c r="G50" s="25">
        <v>7.2016999999999998</v>
      </c>
      <c r="H50" s="53">
        <v>16</v>
      </c>
      <c r="I50" s="52" t="s">
        <v>74</v>
      </c>
      <c r="J50" s="29">
        <v>3.3332999999999999</v>
      </c>
      <c r="K50" s="54">
        <f>J50*H50</f>
        <v>53.332799999999999</v>
      </c>
      <c r="L50" s="54">
        <f>2*K50</f>
        <v>106.6656</v>
      </c>
      <c r="M50" s="54">
        <f>H50*2</f>
        <v>32</v>
      </c>
      <c r="N50" s="128" t="s">
        <v>202</v>
      </c>
      <c r="O50" s="129"/>
      <c r="P50" s="129"/>
      <c r="Q50" s="130"/>
    </row>
    <row r="51" spans="1:17" x14ac:dyDescent="0.2">
      <c r="A51" s="102"/>
      <c r="B51" s="23" t="s">
        <v>161</v>
      </c>
      <c r="C51" s="23" t="s">
        <v>67</v>
      </c>
      <c r="D51" s="24" t="s">
        <v>130</v>
      </c>
      <c r="E51" s="24" t="s">
        <v>65</v>
      </c>
      <c r="F51" s="25" t="s">
        <v>159</v>
      </c>
      <c r="G51" s="25">
        <v>8.2017000000000007</v>
      </c>
      <c r="H51" s="53">
        <v>16</v>
      </c>
      <c r="I51" s="52" t="s">
        <v>132</v>
      </c>
      <c r="J51" s="29">
        <v>3.3332999999999999</v>
      </c>
      <c r="K51" s="54">
        <f>J51*H51</f>
        <v>53.332799999999999</v>
      </c>
      <c r="L51" s="54">
        <f>2*K51</f>
        <v>106.6656</v>
      </c>
      <c r="M51" s="54">
        <f>H51*2</f>
        <v>32</v>
      </c>
      <c r="N51" s="131"/>
      <c r="O51" s="132"/>
      <c r="P51" s="132"/>
      <c r="Q51" s="133"/>
    </row>
    <row r="52" spans="1:17" x14ac:dyDescent="0.2">
      <c r="A52" s="102"/>
      <c r="B52" s="80" t="s">
        <v>133</v>
      </c>
      <c r="C52" s="23" t="s">
        <v>68</v>
      </c>
      <c r="D52" s="24" t="s">
        <v>60</v>
      </c>
      <c r="E52" s="24" t="s">
        <v>123</v>
      </c>
      <c r="F52" s="25" t="s">
        <v>162</v>
      </c>
      <c r="G52" s="25">
        <v>8.2017000000000007</v>
      </c>
      <c r="H52" s="25">
        <v>16</v>
      </c>
      <c r="I52" s="26" t="s">
        <v>131</v>
      </c>
      <c r="J52" s="29">
        <v>3.3332999999999999</v>
      </c>
      <c r="K52" s="54">
        <f>J52*H52</f>
        <v>53.332799999999999</v>
      </c>
      <c r="L52" s="54">
        <f>2*K52</f>
        <v>106.6656</v>
      </c>
      <c r="M52" s="54">
        <f>H52*2</f>
        <v>32</v>
      </c>
      <c r="N52" s="131"/>
      <c r="O52" s="132"/>
      <c r="P52" s="132"/>
      <c r="Q52" s="133"/>
    </row>
    <row r="53" spans="1:17" x14ac:dyDescent="0.2">
      <c r="A53" s="102"/>
      <c r="B53" s="1" t="s">
        <v>161</v>
      </c>
      <c r="C53" s="23" t="s">
        <v>201</v>
      </c>
      <c r="D53" s="24">
        <v>12.6</v>
      </c>
      <c r="E53" s="24">
        <v>19.600000000000001</v>
      </c>
      <c r="F53" s="25" t="s">
        <v>118</v>
      </c>
      <c r="G53" s="25" t="s">
        <v>120</v>
      </c>
      <c r="H53" s="25">
        <v>16</v>
      </c>
      <c r="I53" s="26" t="s">
        <v>166</v>
      </c>
      <c r="J53" s="29">
        <v>3.3332999999999999</v>
      </c>
      <c r="K53" s="54">
        <f>J53*H53</f>
        <v>53.332799999999999</v>
      </c>
      <c r="L53" s="54">
        <f t="shared" ref="L53:L54" si="0">2*K53</f>
        <v>106.6656</v>
      </c>
      <c r="M53" s="54">
        <f>H53*2</f>
        <v>32</v>
      </c>
      <c r="N53" s="131"/>
      <c r="O53" s="132"/>
      <c r="P53" s="132"/>
      <c r="Q53" s="133"/>
    </row>
    <row r="54" spans="1:17" ht="15" thickBot="1" x14ac:dyDescent="0.25">
      <c r="A54" s="102"/>
      <c r="B54" s="1" t="s">
        <v>161</v>
      </c>
      <c r="C54" s="23" t="s">
        <v>201</v>
      </c>
      <c r="D54" s="90">
        <v>42961</v>
      </c>
      <c r="E54" s="90">
        <v>42967</v>
      </c>
      <c r="F54" s="25" t="s">
        <v>167</v>
      </c>
      <c r="G54" s="25" t="s">
        <v>173</v>
      </c>
      <c r="H54" s="25">
        <v>16</v>
      </c>
      <c r="I54" s="26" t="s">
        <v>87</v>
      </c>
      <c r="J54" s="35">
        <v>3.3332999999999999</v>
      </c>
      <c r="K54" s="30">
        <f>J54*H54</f>
        <v>53.332799999999999</v>
      </c>
      <c r="L54" s="54">
        <f t="shared" si="0"/>
        <v>106.6656</v>
      </c>
      <c r="M54" s="30">
        <f>H54*2</f>
        <v>32</v>
      </c>
      <c r="N54" s="131"/>
      <c r="O54" s="132"/>
      <c r="P54" s="132"/>
      <c r="Q54" s="133"/>
    </row>
    <row r="55" spans="1:17" ht="15" x14ac:dyDescent="0.2">
      <c r="A55" s="27" t="s">
        <v>7</v>
      </c>
      <c r="B55" s="109" t="s">
        <v>31</v>
      </c>
      <c r="C55" s="109"/>
      <c r="D55" s="109"/>
      <c r="E55" s="71"/>
      <c r="F55" s="110" t="s">
        <v>34</v>
      </c>
      <c r="G55" s="110"/>
      <c r="H55" s="17"/>
      <c r="I55" s="111" t="s">
        <v>8</v>
      </c>
      <c r="J55" s="112"/>
      <c r="K55" s="36" t="s">
        <v>10</v>
      </c>
      <c r="L55" s="113" t="s">
        <v>15</v>
      </c>
      <c r="M55" s="112"/>
      <c r="N55" s="17" t="s">
        <v>11</v>
      </c>
      <c r="O55" s="17" t="s">
        <v>12</v>
      </c>
      <c r="P55" s="18" t="s">
        <v>30</v>
      </c>
      <c r="Q55" s="19"/>
    </row>
    <row r="56" spans="1:17" ht="15" thickBot="1" x14ac:dyDescent="0.25">
      <c r="A56" s="28"/>
      <c r="B56" s="114" t="s">
        <v>38</v>
      </c>
      <c r="C56" s="114"/>
      <c r="D56" s="114"/>
      <c r="E56" s="20"/>
      <c r="F56" s="115" t="s">
        <v>41</v>
      </c>
      <c r="G56" s="115"/>
      <c r="H56" s="68"/>
      <c r="I56" s="116" t="s">
        <v>76</v>
      </c>
      <c r="J56" s="117"/>
      <c r="K56" s="20">
        <f>SUM(H50:H54)</f>
        <v>80</v>
      </c>
      <c r="L56" s="118">
        <f>M50</f>
        <v>32</v>
      </c>
      <c r="M56" s="119"/>
      <c r="N56" s="5">
        <v>10</v>
      </c>
      <c r="O56" s="5">
        <f>N56*L56</f>
        <v>320</v>
      </c>
      <c r="P56" s="5">
        <f>O56*6</f>
        <v>1920</v>
      </c>
      <c r="Q56" s="22"/>
    </row>
    <row r="57" spans="1:17" ht="15" thickBot="1" x14ac:dyDescent="0.25">
      <c r="A57" s="61"/>
      <c r="B57" s="62"/>
      <c r="C57" s="62"/>
      <c r="D57" s="62"/>
      <c r="E57" s="62"/>
      <c r="F57" s="62"/>
      <c r="G57" s="62"/>
      <c r="H57" s="62"/>
      <c r="I57" s="63"/>
      <c r="J57" s="62"/>
      <c r="K57" s="62"/>
      <c r="L57" s="64"/>
      <c r="M57" s="62"/>
      <c r="N57" s="62"/>
      <c r="O57" s="62"/>
      <c r="P57" s="62"/>
      <c r="Q57" s="65"/>
    </row>
    <row r="58" spans="1:17" ht="45.75" thickBot="1" x14ac:dyDescent="0.25">
      <c r="A58" s="7" t="s">
        <v>0</v>
      </c>
      <c r="B58" s="8" t="s">
        <v>1</v>
      </c>
      <c r="C58" s="8" t="s">
        <v>9</v>
      </c>
      <c r="D58" s="8" t="s">
        <v>13</v>
      </c>
      <c r="E58" s="8" t="s">
        <v>100</v>
      </c>
      <c r="F58" s="8" t="s">
        <v>5</v>
      </c>
      <c r="G58" s="8" t="s">
        <v>6</v>
      </c>
      <c r="H58" s="8" t="s">
        <v>2</v>
      </c>
      <c r="I58" s="49" t="s">
        <v>23</v>
      </c>
      <c r="J58" s="8" t="s">
        <v>3</v>
      </c>
      <c r="K58" s="8" t="s">
        <v>4</v>
      </c>
      <c r="L58" s="9" t="s">
        <v>25</v>
      </c>
      <c r="M58" s="8" t="s">
        <v>14</v>
      </c>
      <c r="N58" s="98" t="s">
        <v>9</v>
      </c>
      <c r="O58" s="99"/>
      <c r="P58" s="99"/>
      <c r="Q58" s="100"/>
    </row>
    <row r="59" spans="1:17" x14ac:dyDescent="0.2">
      <c r="A59" s="101" t="s">
        <v>20</v>
      </c>
      <c r="B59" s="23" t="s">
        <v>134</v>
      </c>
      <c r="C59" s="23" t="s">
        <v>136</v>
      </c>
      <c r="D59" s="31" t="s">
        <v>56</v>
      </c>
      <c r="E59" s="31" t="s">
        <v>98</v>
      </c>
      <c r="F59" s="25">
        <v>1.5</v>
      </c>
      <c r="G59" s="25">
        <v>7.2016</v>
      </c>
      <c r="H59" s="53">
        <v>16</v>
      </c>
      <c r="I59" s="52" t="s">
        <v>103</v>
      </c>
      <c r="J59" s="29">
        <v>2</v>
      </c>
      <c r="K59" s="54">
        <f>J59*H59</f>
        <v>32</v>
      </c>
      <c r="L59" s="54">
        <f>1.3*K59</f>
        <v>41.6</v>
      </c>
      <c r="M59" s="54">
        <f>H59*2.8</f>
        <v>44.8</v>
      </c>
      <c r="N59" s="103" t="s">
        <v>205</v>
      </c>
      <c r="O59" s="104"/>
      <c r="P59" s="104"/>
      <c r="Q59" s="105"/>
    </row>
    <row r="60" spans="1:17" x14ac:dyDescent="0.2">
      <c r="A60" s="102"/>
      <c r="B60" s="23" t="s">
        <v>134</v>
      </c>
      <c r="C60" s="23" t="s">
        <v>67</v>
      </c>
      <c r="D60" s="31" t="s">
        <v>56</v>
      </c>
      <c r="E60" s="83" t="s">
        <v>98</v>
      </c>
      <c r="F60" s="25">
        <v>1.5</v>
      </c>
      <c r="G60" s="25">
        <v>7.2016</v>
      </c>
      <c r="H60" s="53">
        <v>16</v>
      </c>
      <c r="I60" s="52" t="s">
        <v>135</v>
      </c>
      <c r="J60" s="29">
        <v>2</v>
      </c>
      <c r="K60" s="54">
        <f>J60*H60</f>
        <v>32</v>
      </c>
      <c r="L60" s="54">
        <f>1.3*K60</f>
        <v>41.6</v>
      </c>
      <c r="M60" s="54">
        <f>H60*2.8</f>
        <v>44.8</v>
      </c>
      <c r="N60" s="106"/>
      <c r="O60" s="107"/>
      <c r="P60" s="107"/>
      <c r="Q60" s="108"/>
    </row>
    <row r="61" spans="1:17" x14ac:dyDescent="0.2">
      <c r="A61" s="102"/>
      <c r="B61" s="84" t="s">
        <v>147</v>
      </c>
      <c r="C61" s="1" t="s">
        <v>203</v>
      </c>
      <c r="D61" s="31" t="s">
        <v>75</v>
      </c>
      <c r="E61" s="53">
        <v>8.5</v>
      </c>
      <c r="F61" s="25">
        <v>19.600000000000001</v>
      </c>
      <c r="G61" s="25">
        <v>9.2017000000000007</v>
      </c>
      <c r="H61" s="53">
        <v>16</v>
      </c>
      <c r="I61" s="52" t="s">
        <v>145</v>
      </c>
      <c r="J61" s="29">
        <v>2</v>
      </c>
      <c r="K61" s="54">
        <f>J61*H61</f>
        <v>32</v>
      </c>
      <c r="L61" s="54">
        <f>1.3*K61</f>
        <v>41.6</v>
      </c>
      <c r="M61" s="54">
        <f>H61*2.8</f>
        <v>44.8</v>
      </c>
      <c r="N61" s="106"/>
      <c r="O61" s="107"/>
      <c r="P61" s="107"/>
      <c r="Q61" s="108"/>
    </row>
    <row r="62" spans="1:17" x14ac:dyDescent="0.2">
      <c r="A62" s="102"/>
      <c r="B62" s="84"/>
      <c r="C62" s="23" t="s">
        <v>204</v>
      </c>
      <c r="D62" s="31" t="s">
        <v>75</v>
      </c>
      <c r="E62" s="24">
        <v>8.5</v>
      </c>
      <c r="F62" s="25">
        <v>12.6</v>
      </c>
      <c r="G62" s="25">
        <v>9.2017000000000007</v>
      </c>
      <c r="H62" s="25">
        <v>16</v>
      </c>
      <c r="I62" s="26" t="s">
        <v>146</v>
      </c>
      <c r="J62" s="35">
        <v>2</v>
      </c>
      <c r="K62" s="30">
        <f>J62*H62</f>
        <v>32</v>
      </c>
      <c r="L62" s="30">
        <f>1.3*K62</f>
        <v>41.6</v>
      </c>
      <c r="M62" s="30">
        <f>H62*2.8</f>
        <v>44.8</v>
      </c>
      <c r="N62" s="106"/>
      <c r="O62" s="107"/>
      <c r="P62" s="107"/>
      <c r="Q62" s="108"/>
    </row>
    <row r="63" spans="1:17" ht="15" thickBot="1" x14ac:dyDescent="0.25">
      <c r="A63" s="102"/>
      <c r="B63" s="40" t="s">
        <v>134</v>
      </c>
      <c r="C63" s="23" t="s">
        <v>204</v>
      </c>
      <c r="D63" s="91">
        <v>42961</v>
      </c>
      <c r="E63" s="90">
        <v>42967</v>
      </c>
      <c r="F63" s="25" t="s">
        <v>172</v>
      </c>
      <c r="G63" s="25" t="s">
        <v>206</v>
      </c>
      <c r="H63" s="25">
        <v>16</v>
      </c>
      <c r="I63" s="26" t="s">
        <v>146</v>
      </c>
      <c r="J63" s="35">
        <v>2</v>
      </c>
      <c r="K63" s="30">
        <f>J63*H63</f>
        <v>32</v>
      </c>
      <c r="L63" s="30">
        <f>1.3*K63</f>
        <v>41.6</v>
      </c>
      <c r="M63" s="30">
        <f>H63*2.8</f>
        <v>44.8</v>
      </c>
      <c r="N63" s="106"/>
      <c r="O63" s="107"/>
      <c r="P63" s="107"/>
      <c r="Q63" s="108"/>
    </row>
    <row r="64" spans="1:17" ht="15" x14ac:dyDescent="0.2">
      <c r="A64" s="27" t="s">
        <v>7</v>
      </c>
      <c r="B64" s="120" t="s">
        <v>31</v>
      </c>
      <c r="C64" s="109"/>
      <c r="D64" s="109"/>
      <c r="E64" s="71"/>
      <c r="F64" s="110" t="s">
        <v>34</v>
      </c>
      <c r="G64" s="110"/>
      <c r="H64" s="17"/>
      <c r="I64" s="111" t="s">
        <v>8</v>
      </c>
      <c r="J64" s="112"/>
      <c r="K64" s="36" t="s">
        <v>10</v>
      </c>
      <c r="L64" s="113" t="s">
        <v>15</v>
      </c>
      <c r="M64" s="112"/>
      <c r="N64" s="17" t="s">
        <v>11</v>
      </c>
      <c r="O64" s="17" t="s">
        <v>12</v>
      </c>
      <c r="P64" s="18" t="s">
        <v>30</v>
      </c>
      <c r="Q64" s="19"/>
    </row>
    <row r="65" spans="1:17" ht="15" thickBot="1" x14ac:dyDescent="0.25">
      <c r="A65" s="28"/>
      <c r="B65" s="114" t="s">
        <v>42</v>
      </c>
      <c r="C65" s="114"/>
      <c r="D65" s="114"/>
      <c r="E65" s="20"/>
      <c r="F65" s="115" t="s">
        <v>207</v>
      </c>
      <c r="G65" s="115"/>
      <c r="H65" s="68"/>
      <c r="I65" s="116" t="s">
        <v>79</v>
      </c>
      <c r="J65" s="117"/>
      <c r="K65" s="20">
        <f>SUM(H59:H63)</f>
        <v>80</v>
      </c>
      <c r="L65" s="118">
        <f>M59</f>
        <v>44.8</v>
      </c>
      <c r="M65" s="119"/>
      <c r="N65" s="5">
        <v>10</v>
      </c>
      <c r="O65" s="5">
        <f>N65*L65</f>
        <v>448</v>
      </c>
      <c r="P65" s="5">
        <f>O65*7</f>
        <v>3136</v>
      </c>
      <c r="Q65" s="22"/>
    </row>
    <row r="66" spans="1:17" ht="15" thickBot="1" x14ac:dyDescent="0.25">
      <c r="A66" s="61"/>
      <c r="B66" s="62"/>
      <c r="C66" s="62"/>
      <c r="D66" s="62"/>
      <c r="E66" s="62"/>
      <c r="F66" s="62"/>
      <c r="G66" s="62"/>
      <c r="H66" s="62"/>
      <c r="I66" s="63"/>
      <c r="J66" s="62"/>
      <c r="K66" s="62"/>
      <c r="L66" s="64"/>
      <c r="M66" s="62"/>
      <c r="N66" s="62"/>
      <c r="O66" s="62"/>
      <c r="P66" s="62"/>
      <c r="Q66" s="65"/>
    </row>
    <row r="67" spans="1:17" ht="45.75" thickBot="1" x14ac:dyDescent="0.25">
      <c r="A67" s="7" t="s">
        <v>0</v>
      </c>
      <c r="B67" s="49" t="s">
        <v>1</v>
      </c>
      <c r="C67" s="49" t="s">
        <v>9</v>
      </c>
      <c r="D67" s="8" t="s">
        <v>13</v>
      </c>
      <c r="E67" s="8" t="s">
        <v>100</v>
      </c>
      <c r="F67" s="8" t="s">
        <v>5</v>
      </c>
      <c r="G67" s="8" t="s">
        <v>6</v>
      </c>
      <c r="H67" s="8" t="s">
        <v>2</v>
      </c>
      <c r="I67" s="49" t="s">
        <v>23</v>
      </c>
      <c r="J67" s="8" t="s">
        <v>3</v>
      </c>
      <c r="K67" s="8" t="s">
        <v>4</v>
      </c>
      <c r="L67" s="9" t="s">
        <v>52</v>
      </c>
      <c r="M67" s="8" t="s">
        <v>14</v>
      </c>
      <c r="N67" s="98" t="s">
        <v>9</v>
      </c>
      <c r="O67" s="99"/>
      <c r="P67" s="99"/>
      <c r="Q67" s="100"/>
    </row>
    <row r="68" spans="1:17" ht="14.25" customHeight="1" x14ac:dyDescent="0.2">
      <c r="A68" s="101" t="s">
        <v>22</v>
      </c>
      <c r="B68" s="40" t="s">
        <v>46</v>
      </c>
      <c r="C68" s="40" t="s">
        <v>209</v>
      </c>
      <c r="D68" s="24">
        <v>20.399999999999999</v>
      </c>
      <c r="E68" s="24">
        <v>27.4</v>
      </c>
      <c r="F68" s="25">
        <v>10.7</v>
      </c>
      <c r="G68" s="25">
        <v>12.201700000000001</v>
      </c>
      <c r="H68" s="53">
        <v>16</v>
      </c>
      <c r="I68" s="52" t="s">
        <v>106</v>
      </c>
      <c r="J68" s="29">
        <v>3.3</v>
      </c>
      <c r="K68" s="54">
        <f>J68*H68</f>
        <v>52.8</v>
      </c>
      <c r="L68" s="54">
        <f>3*K68</f>
        <v>158.39999999999998</v>
      </c>
      <c r="M68" s="54"/>
      <c r="N68" s="128" t="s">
        <v>192</v>
      </c>
      <c r="O68" s="129"/>
      <c r="P68" s="129"/>
      <c r="Q68" s="130"/>
    </row>
    <row r="69" spans="1:17" ht="14.25" customHeight="1" x14ac:dyDescent="0.2">
      <c r="A69" s="102"/>
      <c r="B69" s="3" t="s">
        <v>138</v>
      </c>
      <c r="C69" s="3" t="s">
        <v>208</v>
      </c>
      <c r="D69" s="24">
        <v>27.4</v>
      </c>
      <c r="E69" s="24">
        <v>4.5</v>
      </c>
      <c r="F69" s="25">
        <v>3.7</v>
      </c>
      <c r="G69" s="25" t="s">
        <v>120</v>
      </c>
      <c r="H69" s="53">
        <v>16</v>
      </c>
      <c r="I69" s="52" t="s">
        <v>105</v>
      </c>
      <c r="J69" s="29">
        <v>3.3</v>
      </c>
      <c r="K69" s="54">
        <f>J69*H69</f>
        <v>52.8</v>
      </c>
      <c r="L69" s="54">
        <f>3*K69</f>
        <v>158.39999999999998</v>
      </c>
      <c r="M69" s="54"/>
      <c r="N69" s="131"/>
      <c r="O69" s="132"/>
      <c r="P69" s="132"/>
      <c r="Q69" s="133"/>
    </row>
    <row r="70" spans="1:17" ht="15" customHeight="1" thickBot="1" x14ac:dyDescent="0.25">
      <c r="A70" s="102"/>
      <c r="B70" s="40"/>
      <c r="C70" s="40"/>
      <c r="D70" s="24"/>
      <c r="E70" s="24"/>
      <c r="F70" s="25"/>
      <c r="G70" s="25"/>
      <c r="H70" s="25"/>
      <c r="I70" s="26"/>
      <c r="J70" s="30"/>
      <c r="K70" s="30"/>
      <c r="L70" s="30"/>
      <c r="M70" s="30"/>
      <c r="N70" s="131"/>
      <c r="O70" s="132"/>
      <c r="P70" s="132"/>
      <c r="Q70" s="133"/>
    </row>
    <row r="71" spans="1:17" ht="15" x14ac:dyDescent="0.2">
      <c r="A71" s="27" t="s">
        <v>7</v>
      </c>
      <c r="B71" s="120" t="s">
        <v>31</v>
      </c>
      <c r="C71" s="120"/>
      <c r="D71" s="109"/>
      <c r="E71" s="76"/>
      <c r="F71" s="122" t="s">
        <v>8</v>
      </c>
      <c r="G71" s="112"/>
      <c r="H71" s="17"/>
      <c r="I71" s="111" t="s">
        <v>8</v>
      </c>
      <c r="J71" s="112"/>
      <c r="K71" s="36" t="s">
        <v>10</v>
      </c>
      <c r="L71" s="113" t="s">
        <v>15</v>
      </c>
      <c r="M71" s="112"/>
      <c r="N71" s="17" t="s">
        <v>11</v>
      </c>
      <c r="O71" s="17" t="s">
        <v>12</v>
      </c>
      <c r="P71" s="18" t="s">
        <v>30</v>
      </c>
      <c r="Q71" s="19"/>
    </row>
    <row r="72" spans="1:17" ht="15" thickBot="1" x14ac:dyDescent="0.25">
      <c r="A72" s="28"/>
      <c r="B72" s="114" t="s">
        <v>83</v>
      </c>
      <c r="C72" s="114"/>
      <c r="D72" s="114"/>
      <c r="E72" s="77"/>
      <c r="F72" s="121" t="s">
        <v>77</v>
      </c>
      <c r="G72" s="117"/>
      <c r="H72" s="68"/>
      <c r="I72" s="116" t="s">
        <v>77</v>
      </c>
      <c r="J72" s="117"/>
      <c r="K72" s="20">
        <f>SUM(H68:H68)</f>
        <v>16</v>
      </c>
      <c r="L72" s="118">
        <f>M68</f>
        <v>0</v>
      </c>
      <c r="M72" s="119"/>
      <c r="N72" s="5">
        <v>30</v>
      </c>
      <c r="O72" s="5">
        <f>N72*L72</f>
        <v>0</v>
      </c>
      <c r="P72" s="5">
        <f>O72*5</f>
        <v>0</v>
      </c>
      <c r="Q72" s="22"/>
    </row>
    <row r="73" spans="1:17" ht="15" thickBot="1" x14ac:dyDescent="0.25">
      <c r="A73" s="61"/>
      <c r="B73" s="62"/>
      <c r="C73" s="62"/>
      <c r="D73" s="62"/>
      <c r="E73" s="62"/>
      <c r="F73" s="62"/>
      <c r="G73" s="62"/>
      <c r="H73" s="62"/>
      <c r="I73" s="63"/>
      <c r="J73" s="62"/>
      <c r="K73" s="62"/>
      <c r="L73" s="64"/>
      <c r="M73" s="62"/>
      <c r="N73" s="62"/>
      <c r="O73" s="62"/>
      <c r="P73" s="62"/>
      <c r="Q73" s="65"/>
    </row>
    <row r="74" spans="1:17" ht="45.75" thickBot="1" x14ac:dyDescent="0.25">
      <c r="A74" s="7" t="s">
        <v>0</v>
      </c>
      <c r="B74" s="8" t="s">
        <v>1</v>
      </c>
      <c r="C74" s="8" t="s">
        <v>9</v>
      </c>
      <c r="D74" s="8" t="s">
        <v>13</v>
      </c>
      <c r="E74" s="8" t="s">
        <v>100</v>
      </c>
      <c r="F74" s="8" t="s">
        <v>5</v>
      </c>
      <c r="G74" s="8" t="s">
        <v>6</v>
      </c>
      <c r="H74" s="8" t="s">
        <v>2</v>
      </c>
      <c r="I74" s="49" t="s">
        <v>23</v>
      </c>
      <c r="J74" s="8" t="s">
        <v>3</v>
      </c>
      <c r="K74" s="8" t="s">
        <v>4</v>
      </c>
      <c r="L74" s="9" t="s">
        <v>52</v>
      </c>
      <c r="M74" s="8" t="s">
        <v>90</v>
      </c>
      <c r="N74" s="98" t="s">
        <v>9</v>
      </c>
      <c r="O74" s="99"/>
      <c r="P74" s="99"/>
      <c r="Q74" s="100"/>
    </row>
    <row r="75" spans="1:17" x14ac:dyDescent="0.2">
      <c r="A75" s="101" t="s">
        <v>24</v>
      </c>
      <c r="B75" s="23" t="s">
        <v>78</v>
      </c>
      <c r="C75" s="23" t="s">
        <v>179</v>
      </c>
      <c r="D75" s="31">
        <v>3.4</v>
      </c>
      <c r="E75" s="31">
        <v>10.4</v>
      </c>
      <c r="F75" s="25">
        <v>19.600000000000001</v>
      </c>
      <c r="G75" s="25">
        <v>26.6</v>
      </c>
      <c r="H75" s="53">
        <v>8</v>
      </c>
      <c r="I75" s="52" t="s">
        <v>86</v>
      </c>
      <c r="J75" s="29">
        <v>13</v>
      </c>
      <c r="K75" s="54">
        <f>J75*H75</f>
        <v>104</v>
      </c>
      <c r="L75" s="54">
        <f>K75*1.3</f>
        <v>135.20000000000002</v>
      </c>
      <c r="M75" s="54">
        <f>K75*1.5</f>
        <v>156</v>
      </c>
      <c r="N75" s="103" t="s">
        <v>193</v>
      </c>
      <c r="O75" s="104"/>
      <c r="P75" s="104"/>
      <c r="Q75" s="105"/>
    </row>
    <row r="76" spans="1:17" x14ac:dyDescent="0.2">
      <c r="A76" s="102"/>
      <c r="B76" s="23" t="s">
        <v>78</v>
      </c>
      <c r="C76" s="23" t="s">
        <v>179</v>
      </c>
      <c r="D76" s="31">
        <v>6.4</v>
      </c>
      <c r="E76" s="31">
        <v>13.4</v>
      </c>
      <c r="F76" s="25">
        <v>19.600000000000001</v>
      </c>
      <c r="G76" s="25">
        <v>26.6</v>
      </c>
      <c r="H76" s="53">
        <v>8</v>
      </c>
      <c r="I76" s="52" t="s">
        <v>87</v>
      </c>
      <c r="J76" s="29">
        <v>13</v>
      </c>
      <c r="K76" s="54">
        <f>J76*H76</f>
        <v>104</v>
      </c>
      <c r="L76" s="54">
        <f>K76*1.3</f>
        <v>135.20000000000002</v>
      </c>
      <c r="M76" s="54">
        <f t="shared" ref="M76:M86" si="1">K76*1.5</f>
        <v>156</v>
      </c>
      <c r="N76" s="106"/>
      <c r="O76" s="107"/>
      <c r="P76" s="107"/>
      <c r="Q76" s="108"/>
    </row>
    <row r="77" spans="1:17" x14ac:dyDescent="0.2">
      <c r="A77" s="102"/>
      <c r="B77" s="23" t="s">
        <v>139</v>
      </c>
      <c r="C77" s="23"/>
      <c r="D77" s="31">
        <v>13.4</v>
      </c>
      <c r="E77" s="31">
        <v>20.399999999999999</v>
      </c>
      <c r="F77" s="25">
        <v>7.2016999999999998</v>
      </c>
      <c r="G77" s="25">
        <v>8.17</v>
      </c>
      <c r="H77" s="53">
        <v>32</v>
      </c>
      <c r="I77" s="52" t="s">
        <v>140</v>
      </c>
      <c r="J77" s="29">
        <v>13</v>
      </c>
      <c r="K77" s="54">
        <f>J77*H77</f>
        <v>416</v>
      </c>
      <c r="L77" s="54">
        <f>K77*1.3</f>
        <v>540.80000000000007</v>
      </c>
      <c r="M77" s="54">
        <f t="shared" si="1"/>
        <v>624</v>
      </c>
      <c r="N77" s="106"/>
      <c r="O77" s="107"/>
      <c r="P77" s="107"/>
      <c r="Q77" s="108"/>
    </row>
    <row r="78" spans="1:17" x14ac:dyDescent="0.2">
      <c r="A78" s="102"/>
      <c r="B78" s="23" t="s">
        <v>78</v>
      </c>
      <c r="C78" s="23"/>
      <c r="D78" s="24">
        <v>1.5</v>
      </c>
      <c r="E78" s="24">
        <v>8.5</v>
      </c>
      <c r="F78" s="25">
        <v>8.2017000000000007</v>
      </c>
      <c r="G78" s="25">
        <v>9.17</v>
      </c>
      <c r="H78" s="25">
        <v>8</v>
      </c>
      <c r="I78" s="26" t="s">
        <v>86</v>
      </c>
      <c r="J78" s="29">
        <v>13</v>
      </c>
      <c r="K78" s="54">
        <f>J78*H78</f>
        <v>104</v>
      </c>
      <c r="L78" s="54">
        <f>K78*1.3</f>
        <v>135.20000000000002</v>
      </c>
      <c r="M78" s="54">
        <f t="shared" si="1"/>
        <v>156</v>
      </c>
      <c r="N78" s="106"/>
      <c r="O78" s="107"/>
      <c r="P78" s="107"/>
      <c r="Q78" s="108"/>
    </row>
    <row r="79" spans="1:17" x14ac:dyDescent="0.2">
      <c r="A79" s="102"/>
      <c r="B79" s="23" t="s">
        <v>78</v>
      </c>
      <c r="C79" s="23"/>
      <c r="D79" s="24">
        <v>1.5</v>
      </c>
      <c r="E79" s="24">
        <v>8.5</v>
      </c>
      <c r="F79" s="43" t="s">
        <v>91</v>
      </c>
      <c r="G79" s="25">
        <v>9.17</v>
      </c>
      <c r="H79" s="25">
        <v>8</v>
      </c>
      <c r="I79" s="26" t="s">
        <v>87</v>
      </c>
      <c r="J79" s="29">
        <v>13</v>
      </c>
      <c r="K79" s="54">
        <f>J79*H79</f>
        <v>104</v>
      </c>
      <c r="L79" s="54">
        <f>K79*1.3</f>
        <v>135.20000000000002</v>
      </c>
      <c r="M79" s="54">
        <f t="shared" si="1"/>
        <v>156</v>
      </c>
      <c r="N79" s="106"/>
      <c r="O79" s="107"/>
      <c r="P79" s="107"/>
      <c r="Q79" s="108"/>
    </row>
    <row r="80" spans="1:17" x14ac:dyDescent="0.2">
      <c r="A80" s="102"/>
      <c r="B80" s="23" t="s">
        <v>78</v>
      </c>
      <c r="C80" s="23"/>
      <c r="D80" s="24">
        <v>15.6</v>
      </c>
      <c r="E80" s="24">
        <v>22.6</v>
      </c>
      <c r="F80" s="43" t="s">
        <v>92</v>
      </c>
      <c r="G80" s="25">
        <v>10.17</v>
      </c>
      <c r="H80" s="25">
        <v>8</v>
      </c>
      <c r="I80" s="26" t="s">
        <v>74</v>
      </c>
      <c r="J80" s="29">
        <v>13</v>
      </c>
      <c r="K80" s="54">
        <f t="shared" ref="K80" si="2">J80*H80</f>
        <v>104</v>
      </c>
      <c r="L80" s="54">
        <f t="shared" ref="L80" si="3">K80*1.3</f>
        <v>135.20000000000002</v>
      </c>
      <c r="M80" s="54">
        <f t="shared" si="1"/>
        <v>156</v>
      </c>
      <c r="N80" s="106"/>
      <c r="O80" s="107"/>
      <c r="P80" s="107"/>
      <c r="Q80" s="108"/>
    </row>
    <row r="81" spans="1:17" x14ac:dyDescent="0.2">
      <c r="A81" s="102"/>
      <c r="B81" s="23" t="s">
        <v>78</v>
      </c>
      <c r="C81" s="23"/>
      <c r="D81" s="24">
        <v>15.6</v>
      </c>
      <c r="E81" s="24">
        <v>22.6</v>
      </c>
      <c r="F81" s="43" t="s">
        <v>92</v>
      </c>
      <c r="G81" s="25">
        <v>10.17</v>
      </c>
      <c r="H81" s="25">
        <v>8</v>
      </c>
      <c r="I81" s="26" t="s">
        <v>88</v>
      </c>
      <c r="J81" s="29">
        <v>13</v>
      </c>
      <c r="K81" s="54">
        <f t="shared" ref="K81" si="4">J81*H81</f>
        <v>104</v>
      </c>
      <c r="L81" s="54">
        <f t="shared" ref="L81" si="5">K81*1.3</f>
        <v>135.20000000000002</v>
      </c>
      <c r="M81" s="54">
        <f t="shared" si="1"/>
        <v>156</v>
      </c>
      <c r="N81" s="106"/>
      <c r="O81" s="107"/>
      <c r="P81" s="107"/>
      <c r="Q81" s="108"/>
    </row>
    <row r="82" spans="1:17" x14ac:dyDescent="0.2">
      <c r="A82" s="102"/>
      <c r="B82" s="23" t="s">
        <v>78</v>
      </c>
      <c r="C82" s="23"/>
      <c r="D82" s="14">
        <v>3.7</v>
      </c>
      <c r="E82" s="14">
        <v>10.7</v>
      </c>
      <c r="F82" s="43" t="s">
        <v>93</v>
      </c>
      <c r="G82" s="25">
        <v>11.17</v>
      </c>
      <c r="H82" s="25">
        <v>8</v>
      </c>
      <c r="I82" s="26" t="s">
        <v>74</v>
      </c>
      <c r="J82" s="29">
        <v>13</v>
      </c>
      <c r="K82" s="54">
        <f t="shared" ref="K82" si="6">J82*H82</f>
        <v>104</v>
      </c>
      <c r="L82" s="54">
        <f t="shared" ref="L82:L86" si="7">K82*1.3</f>
        <v>135.20000000000002</v>
      </c>
      <c r="M82" s="54">
        <f t="shared" si="1"/>
        <v>156</v>
      </c>
      <c r="N82" s="106"/>
      <c r="O82" s="107"/>
      <c r="P82" s="107"/>
      <c r="Q82" s="108"/>
    </row>
    <row r="83" spans="1:17" x14ac:dyDescent="0.2">
      <c r="A83" s="102"/>
      <c r="B83" s="23" t="s">
        <v>78</v>
      </c>
      <c r="C83" s="23"/>
      <c r="D83" s="24">
        <v>3.7</v>
      </c>
      <c r="E83" s="24">
        <v>10.7</v>
      </c>
      <c r="F83" s="43" t="s">
        <v>93</v>
      </c>
      <c r="G83" s="25">
        <v>11.17</v>
      </c>
      <c r="H83" s="25">
        <v>8</v>
      </c>
      <c r="I83" s="26" t="s">
        <v>88</v>
      </c>
      <c r="J83" s="29">
        <v>13</v>
      </c>
      <c r="K83" s="54">
        <f>J83*H83</f>
        <v>104</v>
      </c>
      <c r="L83" s="54">
        <f t="shared" si="7"/>
        <v>135.20000000000002</v>
      </c>
      <c r="M83" s="54">
        <f t="shared" si="1"/>
        <v>156</v>
      </c>
      <c r="N83" s="106"/>
      <c r="O83" s="107"/>
      <c r="P83" s="107"/>
      <c r="Q83" s="108"/>
    </row>
    <row r="84" spans="1:17" x14ac:dyDescent="0.2">
      <c r="A84" s="102"/>
      <c r="B84" s="23" t="s">
        <v>78</v>
      </c>
      <c r="C84" s="23"/>
      <c r="D84" s="90">
        <v>42943</v>
      </c>
      <c r="E84" s="24"/>
      <c r="F84" s="43" t="s">
        <v>210</v>
      </c>
      <c r="G84" s="25" t="s">
        <v>212</v>
      </c>
      <c r="H84" s="25">
        <v>16</v>
      </c>
      <c r="I84" s="26" t="s">
        <v>74</v>
      </c>
      <c r="J84" s="29">
        <v>13</v>
      </c>
      <c r="K84" s="54">
        <f t="shared" ref="K84" si="8">J84*H84</f>
        <v>208</v>
      </c>
      <c r="L84" s="54">
        <f t="shared" si="7"/>
        <v>270.40000000000003</v>
      </c>
      <c r="M84" s="54">
        <f t="shared" si="1"/>
        <v>312</v>
      </c>
      <c r="N84" s="106"/>
      <c r="O84" s="107"/>
      <c r="P84" s="107"/>
      <c r="Q84" s="108"/>
    </row>
    <row r="85" spans="1:17" x14ac:dyDescent="0.2">
      <c r="A85" s="102"/>
      <c r="B85" s="23" t="s">
        <v>78</v>
      </c>
      <c r="C85" s="23"/>
      <c r="D85" s="90">
        <v>42961</v>
      </c>
      <c r="E85" s="24"/>
      <c r="F85" s="92">
        <v>43023</v>
      </c>
      <c r="G85" s="25" t="s">
        <v>213</v>
      </c>
      <c r="H85" s="25">
        <v>16</v>
      </c>
      <c r="I85" s="26" t="s">
        <v>89</v>
      </c>
      <c r="J85" s="35">
        <v>13</v>
      </c>
      <c r="K85" s="30">
        <f>J85*H85</f>
        <v>208</v>
      </c>
      <c r="L85" s="30">
        <f t="shared" si="7"/>
        <v>270.40000000000003</v>
      </c>
      <c r="M85" s="54">
        <f t="shared" si="1"/>
        <v>312</v>
      </c>
      <c r="N85" s="106"/>
      <c r="O85" s="107"/>
      <c r="P85" s="107"/>
      <c r="Q85" s="108"/>
    </row>
    <row r="86" spans="1:17" ht="12.75" customHeight="1" x14ac:dyDescent="0.2">
      <c r="A86" s="102"/>
      <c r="B86" s="23" t="s">
        <v>78</v>
      </c>
      <c r="C86" s="23"/>
      <c r="D86" s="90">
        <v>42975</v>
      </c>
      <c r="E86" s="24"/>
      <c r="F86" s="43" t="s">
        <v>214</v>
      </c>
      <c r="G86" s="25">
        <v>12.17</v>
      </c>
      <c r="H86" s="25">
        <v>32</v>
      </c>
      <c r="I86" s="26" t="s">
        <v>74</v>
      </c>
      <c r="J86" s="29">
        <v>13</v>
      </c>
      <c r="K86" s="54">
        <f t="shared" ref="K86" si="9">J86*H86</f>
        <v>416</v>
      </c>
      <c r="L86" s="54">
        <f t="shared" si="7"/>
        <v>540.80000000000007</v>
      </c>
      <c r="M86" s="54">
        <f t="shared" si="1"/>
        <v>624</v>
      </c>
      <c r="N86" s="106"/>
      <c r="O86" s="107"/>
      <c r="P86" s="107"/>
      <c r="Q86" s="108"/>
    </row>
    <row r="87" spans="1:17" ht="15" thickBot="1" x14ac:dyDescent="0.25">
      <c r="A87" s="102"/>
      <c r="B87" s="23"/>
      <c r="C87" s="23"/>
      <c r="D87" s="24"/>
      <c r="E87" s="24"/>
      <c r="F87" s="25"/>
      <c r="G87" s="25"/>
      <c r="H87" s="25"/>
      <c r="I87" s="26"/>
      <c r="J87" s="35"/>
      <c r="K87" s="30"/>
      <c r="L87" s="30"/>
      <c r="M87" s="54"/>
      <c r="N87" s="106"/>
      <c r="O87" s="107"/>
      <c r="P87" s="107"/>
      <c r="Q87" s="108"/>
    </row>
    <row r="88" spans="1:17" ht="15" x14ac:dyDescent="0.2">
      <c r="A88" s="27" t="s">
        <v>7</v>
      </c>
      <c r="B88" s="109" t="s">
        <v>31</v>
      </c>
      <c r="C88" s="109"/>
      <c r="D88" s="109"/>
      <c r="E88" s="71"/>
      <c r="F88" s="110" t="s">
        <v>34</v>
      </c>
      <c r="G88" s="110"/>
      <c r="H88" s="17"/>
      <c r="I88" s="111" t="s">
        <v>8</v>
      </c>
      <c r="J88" s="112"/>
      <c r="K88" s="36" t="s">
        <v>10</v>
      </c>
      <c r="L88" s="113" t="s">
        <v>15</v>
      </c>
      <c r="M88" s="112"/>
      <c r="N88" s="17" t="s">
        <v>11</v>
      </c>
      <c r="O88" s="17" t="s">
        <v>12</v>
      </c>
      <c r="P88" s="18" t="s">
        <v>30</v>
      </c>
      <c r="Q88" s="19"/>
    </row>
    <row r="89" spans="1:17" ht="15" thickBot="1" x14ac:dyDescent="0.25">
      <c r="A89" s="28"/>
      <c r="B89" s="114" t="s">
        <v>44</v>
      </c>
      <c r="C89" s="114"/>
      <c r="D89" s="114"/>
      <c r="E89" s="20"/>
      <c r="F89" s="115" t="s">
        <v>36</v>
      </c>
      <c r="G89" s="115"/>
      <c r="H89" s="68"/>
      <c r="I89" s="116" t="s">
        <v>85</v>
      </c>
      <c r="J89" s="117"/>
      <c r="K89" s="20">
        <f>SUM(H75:H87)</f>
        <v>160</v>
      </c>
      <c r="L89" s="118">
        <v>468</v>
      </c>
      <c r="M89" s="119"/>
      <c r="N89" s="5">
        <v>15</v>
      </c>
      <c r="O89" s="5">
        <f>N89*L89/5</f>
        <v>1404</v>
      </c>
      <c r="P89" s="5">
        <f>O89*5</f>
        <v>7020</v>
      </c>
      <c r="Q89" s="22"/>
    </row>
    <row r="90" spans="1:17" ht="15" thickBot="1" x14ac:dyDescent="0.25">
      <c r="A90" s="61"/>
      <c r="B90" s="62"/>
      <c r="C90" s="62"/>
      <c r="D90" s="62"/>
      <c r="E90" s="62"/>
      <c r="F90" s="62"/>
      <c r="G90" s="62"/>
      <c r="H90" s="62"/>
      <c r="I90" s="63"/>
      <c r="J90" s="62"/>
      <c r="K90" s="62"/>
      <c r="L90" s="64"/>
      <c r="M90" s="62"/>
      <c r="N90" s="62"/>
      <c r="O90" s="62"/>
      <c r="P90" s="62"/>
      <c r="Q90" s="65"/>
    </row>
    <row r="91" spans="1:17" ht="45.75" thickBot="1" x14ac:dyDescent="0.25">
      <c r="A91" s="7" t="s">
        <v>0</v>
      </c>
      <c r="B91" s="8" t="s">
        <v>1</v>
      </c>
      <c r="C91" s="8" t="s">
        <v>9</v>
      </c>
      <c r="D91" s="8" t="s">
        <v>13</v>
      </c>
      <c r="E91" s="8" t="s">
        <v>100</v>
      </c>
      <c r="F91" s="8" t="s">
        <v>5</v>
      </c>
      <c r="G91" s="8" t="s">
        <v>6</v>
      </c>
      <c r="H91" s="8" t="s">
        <v>2</v>
      </c>
      <c r="I91" s="49" t="s">
        <v>23</v>
      </c>
      <c r="J91" s="8" t="s">
        <v>3</v>
      </c>
      <c r="K91" s="8" t="s">
        <v>4</v>
      </c>
      <c r="L91" s="9" t="s">
        <v>52</v>
      </c>
      <c r="M91" s="8" t="s">
        <v>14</v>
      </c>
      <c r="N91" s="98" t="s">
        <v>9</v>
      </c>
      <c r="O91" s="99"/>
      <c r="P91" s="99"/>
      <c r="Q91" s="100"/>
    </row>
    <row r="92" spans="1:17" x14ac:dyDescent="0.2">
      <c r="A92" s="101" t="s">
        <v>47</v>
      </c>
      <c r="B92" s="23" t="s">
        <v>107</v>
      </c>
      <c r="C92" s="23" t="s">
        <v>168</v>
      </c>
      <c r="D92" s="31">
        <v>8.5</v>
      </c>
      <c r="E92" s="31">
        <v>15.5</v>
      </c>
      <c r="F92" s="25">
        <v>7.7</v>
      </c>
      <c r="G92" s="93" t="s">
        <v>173</v>
      </c>
      <c r="H92" s="53">
        <v>32</v>
      </c>
      <c r="I92" s="52" t="s">
        <v>94</v>
      </c>
      <c r="J92" s="29">
        <v>2</v>
      </c>
      <c r="K92" s="54">
        <f>J92*H92</f>
        <v>64</v>
      </c>
      <c r="L92" s="54">
        <f>K92*2</f>
        <v>128</v>
      </c>
      <c r="M92" s="54">
        <f>0.05*3*K92</f>
        <v>9.6000000000000014</v>
      </c>
      <c r="N92" s="103" t="s">
        <v>211</v>
      </c>
      <c r="O92" s="104"/>
      <c r="P92" s="104"/>
      <c r="Q92" s="105"/>
    </row>
    <row r="93" spans="1:17" ht="15" thickBot="1" x14ac:dyDescent="0.25">
      <c r="A93" s="102"/>
      <c r="B93" s="23"/>
      <c r="C93" s="23"/>
      <c r="D93" s="31"/>
      <c r="E93" s="31"/>
      <c r="F93" s="25"/>
      <c r="G93" s="25"/>
      <c r="H93" s="53"/>
      <c r="I93" s="52"/>
      <c r="J93" s="29"/>
      <c r="K93" s="54"/>
      <c r="L93" s="54"/>
      <c r="M93" s="54"/>
      <c r="N93" s="106"/>
      <c r="O93" s="107"/>
      <c r="P93" s="107"/>
      <c r="Q93" s="108"/>
    </row>
    <row r="94" spans="1:17" ht="15" x14ac:dyDescent="0.2">
      <c r="A94" s="27" t="s">
        <v>7</v>
      </c>
      <c r="B94" s="109" t="s">
        <v>31</v>
      </c>
      <c r="C94" s="109"/>
      <c r="D94" s="109"/>
      <c r="E94" s="71"/>
      <c r="F94" s="110" t="s">
        <v>34</v>
      </c>
      <c r="G94" s="110"/>
      <c r="H94" s="17"/>
      <c r="I94" s="111" t="s">
        <v>8</v>
      </c>
      <c r="J94" s="112"/>
      <c r="K94" s="36" t="s">
        <v>10</v>
      </c>
      <c r="L94" s="113" t="s">
        <v>15</v>
      </c>
      <c r="M94" s="112"/>
      <c r="N94" s="17" t="s">
        <v>11</v>
      </c>
      <c r="O94" s="17" t="s">
        <v>12</v>
      </c>
      <c r="P94" s="18" t="s">
        <v>30</v>
      </c>
      <c r="Q94" s="19"/>
    </row>
    <row r="95" spans="1:17" ht="15" thickBot="1" x14ac:dyDescent="0.25">
      <c r="A95" s="28"/>
      <c r="B95" s="114" t="s">
        <v>38</v>
      </c>
      <c r="C95" s="114"/>
      <c r="D95" s="114"/>
      <c r="E95" s="20"/>
      <c r="F95" s="115" t="s">
        <v>84</v>
      </c>
      <c r="G95" s="115"/>
      <c r="H95" s="68"/>
      <c r="I95" s="116" t="s">
        <v>85</v>
      </c>
      <c r="J95" s="117"/>
      <c r="K95" s="20">
        <f>SUM(H92:H93)</f>
        <v>32</v>
      </c>
      <c r="L95" s="118">
        <f>M92</f>
        <v>9.6000000000000014</v>
      </c>
      <c r="M95" s="119"/>
      <c r="N95" s="5">
        <v>15</v>
      </c>
      <c r="O95" s="5">
        <f>N95*L95</f>
        <v>144.00000000000003</v>
      </c>
      <c r="P95" s="5">
        <f>O95*5</f>
        <v>720.00000000000011</v>
      </c>
      <c r="Q95" s="22"/>
    </row>
    <row r="96" spans="1:17" ht="15" thickBot="1" x14ac:dyDescent="0.25">
      <c r="A96" s="61"/>
      <c r="B96" s="62"/>
      <c r="C96" s="62"/>
      <c r="D96" s="62"/>
      <c r="E96" s="62"/>
      <c r="F96" s="62"/>
      <c r="G96" s="62"/>
      <c r="H96" s="62"/>
      <c r="I96" s="63"/>
      <c r="J96" s="62"/>
      <c r="K96" s="62"/>
      <c r="L96" s="64"/>
      <c r="M96" s="62"/>
      <c r="N96" s="62"/>
      <c r="O96" s="62"/>
      <c r="P96" s="62"/>
      <c r="Q96" s="65"/>
    </row>
    <row r="97" spans="1:17" ht="45.75" thickBot="1" x14ac:dyDescent="0.25">
      <c r="A97" s="7" t="s">
        <v>0</v>
      </c>
      <c r="B97" s="8" t="s">
        <v>1</v>
      </c>
      <c r="C97" s="8" t="s">
        <v>9</v>
      </c>
      <c r="D97" s="8" t="s">
        <v>13</v>
      </c>
      <c r="E97" s="8" t="s">
        <v>100</v>
      </c>
      <c r="F97" s="8" t="s">
        <v>5</v>
      </c>
      <c r="G97" s="8" t="s">
        <v>6</v>
      </c>
      <c r="H97" s="8" t="s">
        <v>2</v>
      </c>
      <c r="I97" s="49" t="s">
        <v>23</v>
      </c>
      <c r="J97" s="8" t="s">
        <v>3</v>
      </c>
      <c r="K97" s="8" t="s">
        <v>4</v>
      </c>
      <c r="L97" s="9" t="s">
        <v>25</v>
      </c>
      <c r="M97" s="8" t="s">
        <v>14</v>
      </c>
      <c r="N97" s="98" t="s">
        <v>9</v>
      </c>
      <c r="O97" s="99"/>
      <c r="P97" s="99"/>
      <c r="Q97" s="100"/>
    </row>
    <row r="98" spans="1:17" ht="14.25" customHeight="1" x14ac:dyDescent="0.2">
      <c r="A98" s="101" t="s">
        <v>48</v>
      </c>
      <c r="B98" s="23" t="s">
        <v>182</v>
      </c>
      <c r="C98" s="23"/>
      <c r="D98" s="31">
        <v>23.3</v>
      </c>
      <c r="E98" s="31">
        <v>30.3</v>
      </c>
      <c r="F98" s="25">
        <v>22.5</v>
      </c>
      <c r="G98" s="25">
        <v>8.6</v>
      </c>
      <c r="H98" s="53">
        <v>16</v>
      </c>
      <c r="I98" s="52" t="s">
        <v>108</v>
      </c>
      <c r="J98" s="29">
        <v>9.9</v>
      </c>
      <c r="K98" s="54">
        <f>J98*H98</f>
        <v>158.4</v>
      </c>
      <c r="L98" s="54">
        <f>K98*1.3</f>
        <v>205.92000000000002</v>
      </c>
      <c r="M98" s="54"/>
      <c r="N98" s="103" t="s">
        <v>95</v>
      </c>
      <c r="O98" s="104"/>
      <c r="P98" s="104"/>
      <c r="Q98" s="105"/>
    </row>
    <row r="99" spans="1:17" ht="14.25" customHeight="1" x14ac:dyDescent="0.2">
      <c r="A99" s="102"/>
      <c r="B99" s="23" t="s">
        <v>182</v>
      </c>
      <c r="C99" s="23"/>
      <c r="D99" s="31">
        <v>22.6</v>
      </c>
      <c r="E99" s="31">
        <v>29.6</v>
      </c>
      <c r="F99" s="25" t="s">
        <v>183</v>
      </c>
      <c r="G99" s="25"/>
      <c r="H99" s="53"/>
      <c r="I99" s="52"/>
      <c r="J99" s="29"/>
      <c r="K99" s="54"/>
      <c r="L99" s="54"/>
      <c r="M99" s="54"/>
      <c r="N99" s="106"/>
      <c r="O99" s="107"/>
      <c r="P99" s="107"/>
      <c r="Q99" s="108"/>
    </row>
    <row r="100" spans="1:17" ht="15" thickBot="1" x14ac:dyDescent="0.25">
      <c r="A100" s="102"/>
      <c r="B100" s="23" t="s">
        <v>137</v>
      </c>
      <c r="C100" s="23"/>
      <c r="D100" s="31">
        <v>30.3</v>
      </c>
      <c r="E100" s="31">
        <v>6.4</v>
      </c>
      <c r="F100" s="25">
        <v>15.5</v>
      </c>
      <c r="G100" s="25"/>
      <c r="H100" s="53">
        <v>8</v>
      </c>
      <c r="I100" s="52" t="s">
        <v>148</v>
      </c>
      <c r="J100" s="29">
        <v>9.9</v>
      </c>
      <c r="K100" s="54">
        <f>J100*H100</f>
        <v>79.2</v>
      </c>
      <c r="L100" s="54">
        <f>K100*1.3</f>
        <v>102.96000000000001</v>
      </c>
      <c r="M100" s="54"/>
      <c r="N100" s="106"/>
      <c r="O100" s="107"/>
      <c r="P100" s="107"/>
      <c r="Q100" s="108"/>
    </row>
    <row r="101" spans="1:17" ht="15" x14ac:dyDescent="0.2">
      <c r="A101" s="27"/>
      <c r="B101" s="109" t="s">
        <v>31</v>
      </c>
      <c r="C101" s="109"/>
      <c r="D101" s="109"/>
      <c r="E101" s="71"/>
      <c r="F101" s="110" t="s">
        <v>34</v>
      </c>
      <c r="G101" s="110"/>
      <c r="H101" s="17"/>
      <c r="I101" s="111" t="s">
        <v>8</v>
      </c>
      <c r="J101" s="112"/>
      <c r="K101" s="36" t="s">
        <v>10</v>
      </c>
      <c r="L101" s="113" t="s">
        <v>15</v>
      </c>
      <c r="M101" s="112"/>
      <c r="N101" s="17" t="s">
        <v>11</v>
      </c>
      <c r="O101" s="17" t="s">
        <v>12</v>
      </c>
      <c r="P101" s="18" t="s">
        <v>30</v>
      </c>
      <c r="Q101" s="19"/>
    </row>
    <row r="102" spans="1:17" ht="15" thickBot="1" x14ac:dyDescent="0.25">
      <c r="A102" s="28"/>
      <c r="B102" s="114" t="s">
        <v>38</v>
      </c>
      <c r="C102" s="114"/>
      <c r="D102" s="114"/>
      <c r="E102" s="20"/>
      <c r="F102" s="115" t="s">
        <v>96</v>
      </c>
      <c r="G102" s="115"/>
      <c r="H102" s="68"/>
      <c r="I102" s="116" t="s">
        <v>97</v>
      </c>
      <c r="J102" s="117"/>
      <c r="K102" s="20">
        <f>SUM(H98:H100)</f>
        <v>24</v>
      </c>
      <c r="L102" s="118">
        <f>M98</f>
        <v>0</v>
      </c>
      <c r="M102" s="119"/>
      <c r="N102" s="5">
        <v>0</v>
      </c>
      <c r="O102" s="5">
        <f>N102*L102</f>
        <v>0</v>
      </c>
      <c r="P102" s="5">
        <f>O102*5</f>
        <v>0</v>
      </c>
      <c r="Q102" s="22"/>
    </row>
    <row r="103" spans="1:17" ht="15" thickBot="1" x14ac:dyDescent="0.25">
      <c r="A103" s="61"/>
      <c r="B103" s="62"/>
      <c r="C103" s="62"/>
      <c r="D103" s="62"/>
      <c r="E103" s="62"/>
      <c r="F103" s="62"/>
      <c r="G103" s="62"/>
      <c r="H103" s="62"/>
      <c r="I103" s="63"/>
      <c r="J103" s="62"/>
      <c r="K103" s="62"/>
      <c r="L103" s="64"/>
      <c r="M103" s="62"/>
      <c r="N103" s="62"/>
      <c r="O103" s="62"/>
      <c r="P103" s="62"/>
      <c r="Q103" s="65"/>
    </row>
    <row r="104" spans="1:17" ht="57.75" customHeight="1" thickBot="1" x14ac:dyDescent="0.25">
      <c r="A104" s="7" t="s">
        <v>0</v>
      </c>
      <c r="B104" s="8" t="s">
        <v>1</v>
      </c>
      <c r="C104" s="8" t="s">
        <v>9</v>
      </c>
      <c r="D104" s="8" t="s">
        <v>114</v>
      </c>
      <c r="E104" s="8" t="s">
        <v>100</v>
      </c>
      <c r="F104" s="8" t="s">
        <v>5</v>
      </c>
      <c r="G104" s="8" t="s">
        <v>6</v>
      </c>
      <c r="H104" s="8" t="s">
        <v>2</v>
      </c>
      <c r="I104" s="49" t="s">
        <v>23</v>
      </c>
      <c r="J104" s="8" t="s">
        <v>3</v>
      </c>
      <c r="K104" s="8" t="s">
        <v>4</v>
      </c>
      <c r="L104" s="9" t="s">
        <v>52</v>
      </c>
      <c r="M104" s="8" t="s">
        <v>14</v>
      </c>
      <c r="N104" s="98" t="s">
        <v>9</v>
      </c>
      <c r="O104" s="99"/>
      <c r="P104" s="99"/>
      <c r="Q104" s="100"/>
    </row>
    <row r="105" spans="1:17" x14ac:dyDescent="0.2">
      <c r="A105" s="101" t="s">
        <v>110</v>
      </c>
      <c r="B105" s="23" t="s">
        <v>112</v>
      </c>
      <c r="C105" s="23" t="s">
        <v>99</v>
      </c>
      <c r="E105" s="31">
        <v>30.3</v>
      </c>
      <c r="F105" s="25">
        <v>8.5</v>
      </c>
      <c r="G105" s="25"/>
      <c r="H105" s="53">
        <v>8</v>
      </c>
      <c r="I105" s="52" t="s">
        <v>113</v>
      </c>
      <c r="J105" s="29">
        <v>15</v>
      </c>
      <c r="K105" s="54">
        <f>J105*H105</f>
        <v>120</v>
      </c>
      <c r="L105" s="54">
        <f>K105*2</f>
        <v>240</v>
      </c>
      <c r="M105" s="54"/>
      <c r="N105" s="103" t="s">
        <v>115</v>
      </c>
      <c r="O105" s="104"/>
      <c r="P105" s="104"/>
      <c r="Q105" s="105"/>
    </row>
    <row r="106" spans="1:17" ht="15" thickBot="1" x14ac:dyDescent="0.25">
      <c r="A106" s="102"/>
      <c r="B106" s="23"/>
      <c r="C106" s="23"/>
      <c r="D106" s="31"/>
      <c r="E106" s="31"/>
      <c r="F106" s="25"/>
      <c r="G106" s="25"/>
      <c r="H106" s="53"/>
      <c r="I106" s="52"/>
      <c r="J106" s="29"/>
      <c r="K106" s="54"/>
      <c r="L106" s="54"/>
      <c r="M106" s="54"/>
      <c r="N106" s="106"/>
      <c r="O106" s="107"/>
      <c r="P106" s="107"/>
      <c r="Q106" s="108"/>
    </row>
    <row r="107" spans="1:17" ht="15" x14ac:dyDescent="0.2">
      <c r="A107" s="27"/>
      <c r="B107" s="109" t="s">
        <v>31</v>
      </c>
      <c r="C107" s="109"/>
      <c r="D107" s="109"/>
      <c r="E107" s="71"/>
      <c r="F107" s="110" t="s">
        <v>34</v>
      </c>
      <c r="G107" s="110"/>
      <c r="H107" s="17"/>
      <c r="I107" s="111" t="s">
        <v>8</v>
      </c>
      <c r="J107" s="112"/>
      <c r="K107" s="36" t="s">
        <v>10</v>
      </c>
      <c r="L107" s="113" t="s">
        <v>15</v>
      </c>
      <c r="M107" s="112"/>
      <c r="N107" s="17" t="s">
        <v>11</v>
      </c>
      <c r="O107" s="17" t="s">
        <v>12</v>
      </c>
      <c r="P107" s="18" t="s">
        <v>30</v>
      </c>
      <c r="Q107" s="19"/>
    </row>
    <row r="108" spans="1:17" ht="15" thickBot="1" x14ac:dyDescent="0.25">
      <c r="A108" s="28"/>
      <c r="B108" s="114" t="s">
        <v>38</v>
      </c>
      <c r="C108" s="114"/>
      <c r="D108" s="114"/>
      <c r="E108" s="20"/>
      <c r="F108" s="115" t="s">
        <v>116</v>
      </c>
      <c r="G108" s="115"/>
      <c r="H108" s="68"/>
      <c r="I108" s="116" t="s">
        <v>117</v>
      </c>
      <c r="J108" s="117"/>
      <c r="K108" s="20">
        <f>SUM(H105:H106)</f>
        <v>8</v>
      </c>
      <c r="L108" s="118">
        <f>M105</f>
        <v>0</v>
      </c>
      <c r="M108" s="119"/>
      <c r="N108" s="5">
        <v>0</v>
      </c>
      <c r="O108" s="5">
        <f>N108*L108</f>
        <v>0</v>
      </c>
      <c r="P108" s="5">
        <f>O108*5</f>
        <v>0</v>
      </c>
      <c r="Q108" s="22"/>
    </row>
    <row r="109" spans="1:17" ht="15" thickBot="1" x14ac:dyDescent="0.25">
      <c r="A109" s="61"/>
      <c r="B109" s="62"/>
      <c r="C109" s="62"/>
      <c r="D109" s="62"/>
      <c r="E109" s="62"/>
      <c r="F109" s="62"/>
      <c r="G109" s="62"/>
      <c r="H109" s="62"/>
      <c r="I109" s="63"/>
      <c r="J109" s="62"/>
      <c r="K109" s="62"/>
      <c r="L109" s="64"/>
      <c r="M109" s="62"/>
      <c r="N109" s="62"/>
      <c r="O109" s="62"/>
      <c r="P109" s="62"/>
      <c r="Q109" s="65"/>
    </row>
    <row r="110" spans="1:17" ht="45.75" thickBot="1" x14ac:dyDescent="0.25">
      <c r="A110" s="7" t="s">
        <v>0</v>
      </c>
      <c r="B110" s="8" t="s">
        <v>1</v>
      </c>
      <c r="C110" s="8" t="s">
        <v>9</v>
      </c>
      <c r="D110" s="8" t="s">
        <v>13</v>
      </c>
      <c r="E110" s="8" t="s">
        <v>100</v>
      </c>
      <c r="F110" s="8" t="s">
        <v>5</v>
      </c>
      <c r="G110" s="8" t="s">
        <v>6</v>
      </c>
      <c r="H110" s="8" t="s">
        <v>2</v>
      </c>
      <c r="I110" s="49" t="s">
        <v>23</v>
      </c>
      <c r="J110" s="8" t="s">
        <v>3</v>
      </c>
      <c r="K110" s="8" t="s">
        <v>4</v>
      </c>
      <c r="L110" s="9" t="s">
        <v>25</v>
      </c>
      <c r="M110" s="8" t="s">
        <v>54</v>
      </c>
      <c r="N110" s="98" t="s">
        <v>9</v>
      </c>
      <c r="O110" s="99"/>
      <c r="P110" s="99"/>
      <c r="Q110" s="100"/>
    </row>
    <row r="111" spans="1:17" x14ac:dyDescent="0.2">
      <c r="A111" s="101" t="s">
        <v>109</v>
      </c>
      <c r="B111" s="23" t="s">
        <v>149</v>
      </c>
      <c r="C111" s="23" t="s">
        <v>181</v>
      </c>
      <c r="D111" s="31">
        <v>27.4</v>
      </c>
      <c r="E111" s="31">
        <v>8.5</v>
      </c>
      <c r="F111" s="25" t="s">
        <v>118</v>
      </c>
      <c r="G111" s="25" t="s">
        <v>120</v>
      </c>
      <c r="H111" s="53">
        <v>16</v>
      </c>
      <c r="I111" s="52" t="s">
        <v>174</v>
      </c>
      <c r="J111" s="29">
        <v>2</v>
      </c>
      <c r="K111" s="54">
        <f>J111*H111</f>
        <v>32</v>
      </c>
      <c r="L111" s="54">
        <f>K111*1.3</f>
        <v>41.6</v>
      </c>
      <c r="M111" s="54">
        <f>K111*2</f>
        <v>64</v>
      </c>
      <c r="N111" s="103"/>
      <c r="O111" s="104"/>
      <c r="P111" s="104"/>
      <c r="Q111" s="105"/>
    </row>
    <row r="112" spans="1:17" ht="15" thickBot="1" x14ac:dyDescent="0.25">
      <c r="A112" s="102"/>
      <c r="B112" s="23" t="s">
        <v>170</v>
      </c>
      <c r="C112" s="23" t="s">
        <v>171</v>
      </c>
      <c r="D112" s="31">
        <v>15.6</v>
      </c>
      <c r="E112" s="31">
        <v>19.600000000000001</v>
      </c>
      <c r="F112" s="25" t="s">
        <v>165</v>
      </c>
      <c r="G112" s="25" t="s">
        <v>167</v>
      </c>
      <c r="H112" s="53">
        <v>16</v>
      </c>
      <c r="I112" s="52" t="s">
        <v>175</v>
      </c>
      <c r="J112" s="29">
        <v>1</v>
      </c>
      <c r="K112" s="54">
        <f>J112*H112</f>
        <v>16</v>
      </c>
      <c r="L112" s="54">
        <f>K112*1.3</f>
        <v>20.8</v>
      </c>
      <c r="M112" s="54">
        <f>K112*2</f>
        <v>32</v>
      </c>
      <c r="N112" s="106"/>
      <c r="O112" s="107"/>
      <c r="P112" s="107"/>
      <c r="Q112" s="108"/>
    </row>
    <row r="113" spans="1:17" ht="15" x14ac:dyDescent="0.2">
      <c r="A113" s="27"/>
      <c r="B113" s="109" t="s">
        <v>31</v>
      </c>
      <c r="C113" s="109"/>
      <c r="D113" s="109"/>
      <c r="E113" s="71"/>
      <c r="F113" s="110" t="s">
        <v>34</v>
      </c>
      <c r="G113" s="110"/>
      <c r="H113" s="17"/>
      <c r="I113" s="111" t="s">
        <v>8</v>
      </c>
      <c r="J113" s="112"/>
      <c r="K113" s="36" t="s">
        <v>10</v>
      </c>
      <c r="L113" s="113" t="s">
        <v>15</v>
      </c>
      <c r="M113" s="112"/>
      <c r="N113" s="17" t="s">
        <v>11</v>
      </c>
      <c r="O113" s="17" t="s">
        <v>12</v>
      </c>
      <c r="P113" s="18" t="s">
        <v>30</v>
      </c>
      <c r="Q113" s="19"/>
    </row>
    <row r="114" spans="1:17" ht="15" thickBot="1" x14ac:dyDescent="0.25">
      <c r="A114" s="28"/>
      <c r="B114" s="114" t="s">
        <v>32</v>
      </c>
      <c r="C114" s="114"/>
      <c r="D114" s="114"/>
      <c r="E114" s="20"/>
      <c r="F114" s="115" t="s">
        <v>36</v>
      </c>
      <c r="G114" s="115"/>
      <c r="H114" s="68"/>
      <c r="I114" s="116" t="s">
        <v>120</v>
      </c>
      <c r="J114" s="117"/>
      <c r="K114" s="20">
        <f>SUM(H111:H112)</f>
        <v>32</v>
      </c>
      <c r="L114" s="118">
        <f>M111</f>
        <v>64</v>
      </c>
      <c r="M114" s="119"/>
      <c r="N114" s="5">
        <v>0</v>
      </c>
      <c r="O114" s="5">
        <f>N114*L114</f>
        <v>0</v>
      </c>
      <c r="P114" s="5">
        <f>O114*5</f>
        <v>0</v>
      </c>
      <c r="Q114" s="22"/>
    </row>
    <row r="115" spans="1:17" ht="15" thickBot="1" x14ac:dyDescent="0.25">
      <c r="A115" s="61"/>
      <c r="B115" s="62"/>
      <c r="C115" s="62"/>
      <c r="D115" s="62"/>
      <c r="E115" s="62"/>
      <c r="F115" s="62"/>
      <c r="G115" s="62"/>
      <c r="H115" s="62"/>
      <c r="I115" s="63"/>
      <c r="J115" s="62"/>
      <c r="K115" s="62"/>
      <c r="L115" s="64"/>
      <c r="M115" s="62"/>
      <c r="N115" s="62"/>
      <c r="O115" s="62"/>
      <c r="P115" s="62"/>
      <c r="Q115" s="65"/>
    </row>
    <row r="116" spans="1:17" ht="45.75" thickBot="1" x14ac:dyDescent="0.25">
      <c r="A116" s="7" t="s">
        <v>0</v>
      </c>
      <c r="B116" s="8" t="s">
        <v>1</v>
      </c>
      <c r="C116" s="8" t="s">
        <v>9</v>
      </c>
      <c r="D116" s="8" t="s">
        <v>13</v>
      </c>
      <c r="E116" s="8" t="s">
        <v>100</v>
      </c>
      <c r="F116" s="8" t="s">
        <v>5</v>
      </c>
      <c r="G116" s="8" t="s">
        <v>6</v>
      </c>
      <c r="H116" s="8" t="s">
        <v>2</v>
      </c>
      <c r="I116" s="49" t="s">
        <v>23</v>
      </c>
      <c r="J116" s="8" t="s">
        <v>3</v>
      </c>
      <c r="K116" s="8" t="s">
        <v>4</v>
      </c>
      <c r="L116" s="9" t="s">
        <v>25</v>
      </c>
      <c r="M116" s="8" t="s">
        <v>54</v>
      </c>
      <c r="N116" s="98" t="s">
        <v>9</v>
      </c>
      <c r="O116" s="99"/>
      <c r="P116" s="99"/>
      <c r="Q116" s="100"/>
    </row>
    <row r="117" spans="1:17" x14ac:dyDescent="0.2">
      <c r="A117" s="101" t="s">
        <v>119</v>
      </c>
      <c r="B117" s="23" t="s">
        <v>160</v>
      </c>
      <c r="C117" s="23" t="s">
        <v>169</v>
      </c>
      <c r="D117" s="31">
        <v>8.5</v>
      </c>
      <c r="E117" s="31">
        <v>15.5</v>
      </c>
      <c r="F117" s="25" t="s">
        <v>120</v>
      </c>
      <c r="G117" s="25" t="s">
        <v>120</v>
      </c>
      <c r="H117" s="53">
        <v>16</v>
      </c>
      <c r="I117" s="52" t="s">
        <v>104</v>
      </c>
      <c r="J117" s="29">
        <v>2</v>
      </c>
      <c r="K117" s="54">
        <f>J117*H117</f>
        <v>32</v>
      </c>
      <c r="L117" s="54">
        <f>K117*1.3</f>
        <v>41.6</v>
      </c>
      <c r="M117" s="54">
        <f>K117*3*0.7</f>
        <v>67.199999999999989</v>
      </c>
      <c r="N117" s="103"/>
      <c r="O117" s="104"/>
      <c r="P117" s="104"/>
      <c r="Q117" s="105"/>
    </row>
    <row r="118" spans="1:17" ht="15" thickBot="1" x14ac:dyDescent="0.25">
      <c r="A118" s="102"/>
      <c r="B118" s="23"/>
      <c r="C118" s="23"/>
      <c r="D118" s="31"/>
      <c r="E118" s="31"/>
      <c r="F118" s="25"/>
      <c r="G118" s="25"/>
      <c r="H118" s="53"/>
      <c r="I118" s="52"/>
      <c r="J118" s="29"/>
      <c r="K118" s="54"/>
      <c r="L118" s="54"/>
      <c r="M118" s="54"/>
      <c r="N118" s="106"/>
      <c r="O118" s="107"/>
      <c r="P118" s="107"/>
      <c r="Q118" s="108"/>
    </row>
    <row r="119" spans="1:17" ht="15" x14ac:dyDescent="0.2">
      <c r="A119" s="27"/>
      <c r="B119" s="109" t="s">
        <v>31</v>
      </c>
      <c r="C119" s="109"/>
      <c r="D119" s="109"/>
      <c r="E119" s="71"/>
      <c r="F119" s="110" t="s">
        <v>34</v>
      </c>
      <c r="G119" s="110"/>
      <c r="H119" s="17"/>
      <c r="I119" s="111" t="s">
        <v>8</v>
      </c>
      <c r="J119" s="112"/>
      <c r="K119" s="36" t="s">
        <v>10</v>
      </c>
      <c r="L119" s="113" t="s">
        <v>15</v>
      </c>
      <c r="M119" s="112"/>
      <c r="N119" s="17" t="s">
        <v>11</v>
      </c>
      <c r="O119" s="17" t="s">
        <v>12</v>
      </c>
      <c r="P119" s="18" t="s">
        <v>30</v>
      </c>
      <c r="Q119" s="19"/>
    </row>
    <row r="120" spans="1:17" ht="15" thickBot="1" x14ac:dyDescent="0.25">
      <c r="A120" s="28"/>
      <c r="B120" s="114" t="s">
        <v>32</v>
      </c>
      <c r="C120" s="114"/>
      <c r="D120" s="114"/>
      <c r="E120" s="20"/>
      <c r="F120" s="115" t="s">
        <v>36</v>
      </c>
      <c r="G120" s="115"/>
      <c r="H120" s="68"/>
      <c r="I120" s="116" t="s">
        <v>118</v>
      </c>
      <c r="J120" s="117"/>
      <c r="K120" s="20">
        <f>SUM(H117:H118)</f>
        <v>16</v>
      </c>
      <c r="L120" s="118">
        <f>M117</f>
        <v>67.199999999999989</v>
      </c>
      <c r="M120" s="119"/>
      <c r="N120" s="5">
        <v>0</v>
      </c>
      <c r="O120" s="5">
        <f>N120*L120</f>
        <v>0</v>
      </c>
      <c r="P120" s="5">
        <f>O120*5</f>
        <v>0</v>
      </c>
      <c r="Q120" s="22"/>
    </row>
    <row r="121" spans="1:17" ht="15" thickBot="1" x14ac:dyDescent="0.25">
      <c r="A121" s="61"/>
      <c r="B121" s="62"/>
      <c r="C121" s="62"/>
      <c r="D121" s="62"/>
      <c r="E121" s="62"/>
      <c r="F121" s="62"/>
      <c r="G121" s="62"/>
      <c r="H121" s="62"/>
      <c r="I121" s="63"/>
      <c r="J121" s="62"/>
      <c r="K121" s="62"/>
      <c r="L121" s="64"/>
      <c r="M121" s="62"/>
      <c r="N121" s="62"/>
      <c r="O121" s="62"/>
      <c r="P121" s="62"/>
      <c r="Q121" s="65"/>
    </row>
    <row r="122" spans="1:17" ht="45.75" thickBot="1" x14ac:dyDescent="0.25">
      <c r="A122" s="7" t="s">
        <v>0</v>
      </c>
      <c r="B122" s="8" t="s">
        <v>1</v>
      </c>
      <c r="C122" s="8" t="s">
        <v>9</v>
      </c>
      <c r="D122" s="8" t="s">
        <v>114</v>
      </c>
      <c r="E122" s="8" t="s">
        <v>100</v>
      </c>
      <c r="F122" s="8" t="s">
        <v>5</v>
      </c>
      <c r="G122" s="8" t="s">
        <v>6</v>
      </c>
      <c r="H122" s="8" t="s">
        <v>2</v>
      </c>
      <c r="I122" s="49" t="s">
        <v>23</v>
      </c>
      <c r="J122" s="8" t="s">
        <v>3</v>
      </c>
      <c r="K122" s="8" t="s">
        <v>4</v>
      </c>
      <c r="L122" s="9" t="s">
        <v>25</v>
      </c>
      <c r="M122" s="8" t="s">
        <v>14</v>
      </c>
      <c r="N122" s="98" t="s">
        <v>9</v>
      </c>
      <c r="O122" s="99"/>
      <c r="P122" s="99"/>
      <c r="Q122" s="100"/>
    </row>
    <row r="123" spans="1:17" x14ac:dyDescent="0.2">
      <c r="A123" s="101" t="s">
        <v>176</v>
      </c>
      <c r="B123" s="23" t="s">
        <v>177</v>
      </c>
      <c r="C123" s="23" t="s">
        <v>215</v>
      </c>
      <c r="D123" s="31">
        <v>19.600000000000001</v>
      </c>
      <c r="E123" s="31"/>
      <c r="F123" s="25" t="s">
        <v>165</v>
      </c>
      <c r="G123" s="25" t="s">
        <v>167</v>
      </c>
      <c r="H123" s="53">
        <v>16</v>
      </c>
      <c r="I123" s="52" t="s">
        <v>178</v>
      </c>
      <c r="J123" s="29"/>
      <c r="K123" s="54"/>
      <c r="L123" s="54"/>
      <c r="M123" s="54"/>
      <c r="N123" s="103"/>
      <c r="O123" s="104"/>
      <c r="P123" s="104"/>
      <c r="Q123" s="105"/>
    </row>
    <row r="124" spans="1:17" x14ac:dyDescent="0.2">
      <c r="A124" s="102"/>
      <c r="B124" s="23"/>
      <c r="C124" s="23"/>
      <c r="D124" s="31"/>
      <c r="E124" s="31"/>
      <c r="F124" s="25"/>
      <c r="G124" s="25"/>
      <c r="H124" s="53"/>
      <c r="I124" s="52"/>
      <c r="J124" s="29"/>
      <c r="K124" s="54"/>
      <c r="L124" s="54"/>
      <c r="M124" s="54"/>
      <c r="N124" s="106"/>
      <c r="O124" s="107"/>
      <c r="P124" s="107"/>
      <c r="Q124" s="108"/>
    </row>
    <row r="125" spans="1:17" x14ac:dyDescent="0.2">
      <c r="A125" s="102"/>
      <c r="B125" s="23"/>
      <c r="C125" s="23"/>
      <c r="D125" s="24"/>
      <c r="E125" s="24"/>
      <c r="F125" s="25"/>
      <c r="G125" s="25"/>
      <c r="H125" s="25"/>
      <c r="I125" s="26"/>
      <c r="J125" s="29"/>
      <c r="K125" s="54"/>
      <c r="L125" s="54"/>
      <c r="M125" s="30"/>
      <c r="N125" s="106"/>
      <c r="O125" s="107"/>
      <c r="P125" s="107"/>
      <c r="Q125" s="108"/>
    </row>
    <row r="126" spans="1:17" x14ac:dyDescent="0.2">
      <c r="A126" s="102"/>
      <c r="B126" s="23"/>
      <c r="C126" s="23"/>
      <c r="D126" s="24"/>
      <c r="E126" s="24"/>
      <c r="F126" s="43"/>
      <c r="G126" s="25"/>
      <c r="H126" s="25"/>
      <c r="I126" s="26"/>
      <c r="J126" s="29"/>
      <c r="K126" s="54"/>
      <c r="L126" s="54"/>
      <c r="M126" s="30"/>
      <c r="N126" s="106"/>
      <c r="O126" s="107"/>
      <c r="P126" s="107"/>
      <c r="Q126" s="108"/>
    </row>
    <row r="127" spans="1:17" ht="15" thickBot="1" x14ac:dyDescent="0.25">
      <c r="A127" s="102"/>
      <c r="B127" s="23"/>
      <c r="C127" s="23"/>
      <c r="D127" s="24"/>
      <c r="E127" s="24"/>
      <c r="F127" s="25"/>
      <c r="G127" s="25"/>
      <c r="H127" s="25"/>
      <c r="I127" s="26"/>
      <c r="J127" s="35"/>
      <c r="K127" s="30"/>
      <c r="L127" s="30"/>
      <c r="M127" s="30"/>
      <c r="N127" s="106"/>
      <c r="O127" s="107"/>
      <c r="P127" s="107"/>
      <c r="Q127" s="108"/>
    </row>
    <row r="128" spans="1:17" ht="15" x14ac:dyDescent="0.2">
      <c r="A128" s="27"/>
      <c r="B128" s="109" t="s">
        <v>31</v>
      </c>
      <c r="C128" s="109"/>
      <c r="D128" s="109"/>
      <c r="E128" s="71"/>
      <c r="F128" s="110" t="s">
        <v>34</v>
      </c>
      <c r="G128" s="110"/>
      <c r="H128" s="17"/>
      <c r="I128" s="111" t="s">
        <v>8</v>
      </c>
      <c r="J128" s="112"/>
      <c r="K128" s="36" t="s">
        <v>10</v>
      </c>
      <c r="L128" s="113" t="s">
        <v>15</v>
      </c>
      <c r="M128" s="112"/>
      <c r="N128" s="17" t="s">
        <v>11</v>
      </c>
      <c r="O128" s="17" t="s">
        <v>12</v>
      </c>
      <c r="P128" s="18" t="s">
        <v>30</v>
      </c>
      <c r="Q128" s="19"/>
    </row>
    <row r="129" spans="1:17" ht="15" thickBot="1" x14ac:dyDescent="0.25">
      <c r="A129" s="28"/>
      <c r="B129" s="114"/>
      <c r="C129" s="114"/>
      <c r="D129" s="114"/>
      <c r="E129" s="20"/>
      <c r="F129" s="115"/>
      <c r="G129" s="115"/>
      <c r="H129" s="68"/>
      <c r="I129" s="116"/>
      <c r="J129" s="117"/>
      <c r="K129" s="20">
        <f>SUM(H123:H127)</f>
        <v>16</v>
      </c>
      <c r="L129" s="118">
        <f>M123</f>
        <v>0</v>
      </c>
      <c r="M129" s="119"/>
      <c r="N129" s="5">
        <v>0</v>
      </c>
      <c r="O129" s="5">
        <f>N129*L129</f>
        <v>0</v>
      </c>
      <c r="P129" s="5">
        <f>O129*5</f>
        <v>0</v>
      </c>
      <c r="Q129" s="22"/>
    </row>
    <row r="130" spans="1:17" ht="15" thickBot="1" x14ac:dyDescent="0.25">
      <c r="A130" s="61"/>
      <c r="B130" s="62"/>
      <c r="C130" s="62"/>
      <c r="D130" s="62"/>
      <c r="E130" s="62"/>
      <c r="F130" s="62"/>
      <c r="G130" s="62"/>
      <c r="H130" s="62"/>
      <c r="I130" s="63"/>
      <c r="J130" s="62"/>
      <c r="K130" s="62"/>
      <c r="L130" s="64"/>
      <c r="M130" s="62"/>
      <c r="N130" s="62"/>
      <c r="O130" s="62"/>
      <c r="P130" s="62"/>
      <c r="Q130" s="65"/>
    </row>
    <row r="131" spans="1:17" ht="45.75" thickBot="1" x14ac:dyDescent="0.25">
      <c r="A131" s="7" t="s">
        <v>0</v>
      </c>
      <c r="B131" s="8" t="s">
        <v>1</v>
      </c>
      <c r="C131" s="8" t="s">
        <v>9</v>
      </c>
      <c r="D131" s="8" t="s">
        <v>114</v>
      </c>
      <c r="E131" s="8" t="s">
        <v>100</v>
      </c>
      <c r="F131" s="8" t="s">
        <v>5</v>
      </c>
      <c r="G131" s="8" t="s">
        <v>6</v>
      </c>
      <c r="H131" s="8" t="s">
        <v>2</v>
      </c>
      <c r="I131" s="49" t="s">
        <v>23</v>
      </c>
      <c r="J131" s="8" t="s">
        <v>3</v>
      </c>
      <c r="K131" s="8" t="s">
        <v>4</v>
      </c>
      <c r="L131" s="9" t="s">
        <v>25</v>
      </c>
      <c r="M131" s="8" t="s">
        <v>14</v>
      </c>
      <c r="N131" s="98" t="s">
        <v>9</v>
      </c>
      <c r="O131" s="99"/>
      <c r="P131" s="99"/>
      <c r="Q131" s="100"/>
    </row>
    <row r="132" spans="1:17" x14ac:dyDescent="0.2">
      <c r="A132" s="101" t="s">
        <v>217</v>
      </c>
      <c r="B132" s="23"/>
      <c r="C132" s="23"/>
      <c r="D132" s="31" t="s">
        <v>218</v>
      </c>
      <c r="E132" s="31"/>
      <c r="F132" s="25"/>
      <c r="G132" s="25"/>
      <c r="H132" s="53"/>
      <c r="I132" s="52"/>
      <c r="J132" s="29"/>
      <c r="K132" s="54"/>
      <c r="L132" s="54"/>
      <c r="M132" s="54"/>
      <c r="N132" s="103" t="s">
        <v>219</v>
      </c>
      <c r="O132" s="104"/>
      <c r="P132" s="104"/>
      <c r="Q132" s="105"/>
    </row>
    <row r="133" spans="1:17" x14ac:dyDescent="0.2">
      <c r="A133" s="102"/>
      <c r="B133" s="23"/>
      <c r="C133" s="23"/>
      <c r="D133" s="31"/>
      <c r="E133" s="31"/>
      <c r="F133" s="25"/>
      <c r="G133" s="25"/>
      <c r="H133" s="53"/>
      <c r="I133" s="52"/>
      <c r="J133" s="29"/>
      <c r="K133" s="54"/>
      <c r="L133" s="54"/>
      <c r="M133" s="54"/>
      <c r="N133" s="106"/>
      <c r="O133" s="107"/>
      <c r="P133" s="107"/>
      <c r="Q133" s="108"/>
    </row>
    <row r="134" spans="1:17" x14ac:dyDescent="0.2">
      <c r="A134" s="102"/>
      <c r="B134" s="23"/>
      <c r="C134" s="23"/>
      <c r="D134" s="24"/>
      <c r="E134" s="24"/>
      <c r="F134" s="25"/>
      <c r="G134" s="25"/>
      <c r="H134" s="25"/>
      <c r="I134" s="26"/>
      <c r="J134" s="29"/>
      <c r="K134" s="54"/>
      <c r="L134" s="54"/>
      <c r="M134" s="30"/>
      <c r="N134" s="106"/>
      <c r="O134" s="107"/>
      <c r="P134" s="107"/>
      <c r="Q134" s="108"/>
    </row>
    <row r="135" spans="1:17" x14ac:dyDescent="0.2">
      <c r="A135" s="102"/>
      <c r="B135" s="23"/>
      <c r="C135" s="23"/>
      <c r="D135" s="24"/>
      <c r="E135" s="24"/>
      <c r="F135" s="43"/>
      <c r="G135" s="25"/>
      <c r="H135" s="25"/>
      <c r="I135" s="26"/>
      <c r="J135" s="29"/>
      <c r="K135" s="54"/>
      <c r="L135" s="54"/>
      <c r="M135" s="30"/>
      <c r="N135" s="106"/>
      <c r="O135" s="107"/>
      <c r="P135" s="107"/>
      <c r="Q135" s="108"/>
    </row>
    <row r="136" spans="1:17" ht="15" thickBot="1" x14ac:dyDescent="0.25">
      <c r="A136" s="102"/>
      <c r="B136" s="23"/>
      <c r="C136" s="23"/>
      <c r="D136" s="24"/>
      <c r="E136" s="24"/>
      <c r="F136" s="25"/>
      <c r="G136" s="25"/>
      <c r="H136" s="25"/>
      <c r="I136" s="26"/>
      <c r="J136" s="35"/>
      <c r="K136" s="30"/>
      <c r="L136" s="30"/>
      <c r="M136" s="30"/>
      <c r="N136" s="106"/>
      <c r="O136" s="107"/>
      <c r="P136" s="107"/>
      <c r="Q136" s="108"/>
    </row>
    <row r="137" spans="1:17" ht="15" x14ac:dyDescent="0.2">
      <c r="A137" s="27"/>
      <c r="B137" s="109" t="s">
        <v>31</v>
      </c>
      <c r="C137" s="109"/>
      <c r="D137" s="109"/>
      <c r="E137" s="94"/>
      <c r="F137" s="110" t="s">
        <v>34</v>
      </c>
      <c r="G137" s="110"/>
      <c r="H137" s="17"/>
      <c r="I137" s="111" t="s">
        <v>8</v>
      </c>
      <c r="J137" s="112"/>
      <c r="K137" s="36" t="s">
        <v>10</v>
      </c>
      <c r="L137" s="113" t="s">
        <v>15</v>
      </c>
      <c r="M137" s="112"/>
      <c r="N137" s="17" t="s">
        <v>11</v>
      </c>
      <c r="O137" s="17" t="s">
        <v>12</v>
      </c>
      <c r="P137" s="95" t="s">
        <v>30</v>
      </c>
      <c r="Q137" s="19"/>
    </row>
    <row r="138" spans="1:17" ht="15" thickBot="1" x14ac:dyDescent="0.25">
      <c r="A138" s="28"/>
      <c r="B138" s="114"/>
      <c r="C138" s="114"/>
      <c r="D138" s="114"/>
      <c r="E138" s="96"/>
      <c r="F138" s="115"/>
      <c r="G138" s="115"/>
      <c r="H138" s="68"/>
      <c r="I138" s="116"/>
      <c r="J138" s="117"/>
      <c r="K138" s="96">
        <f>SUM(H132:H136)</f>
        <v>0</v>
      </c>
      <c r="L138" s="118">
        <f>M132</f>
        <v>0</v>
      </c>
      <c r="M138" s="119"/>
      <c r="N138" s="97">
        <v>0</v>
      </c>
      <c r="O138" s="97">
        <f>N138*L138</f>
        <v>0</v>
      </c>
      <c r="P138" s="97">
        <f>O138*5</f>
        <v>0</v>
      </c>
      <c r="Q138" s="22"/>
    </row>
    <row r="139" spans="1:17" ht="15" thickBot="1" x14ac:dyDescent="0.25">
      <c r="A139" s="61"/>
      <c r="B139" s="62"/>
      <c r="C139" s="62"/>
      <c r="D139" s="62"/>
      <c r="E139" s="62"/>
      <c r="F139" s="62"/>
      <c r="G139" s="62"/>
      <c r="H139" s="62"/>
      <c r="I139" s="63"/>
      <c r="J139" s="62"/>
      <c r="K139" s="62"/>
      <c r="L139" s="64"/>
      <c r="M139" s="62"/>
      <c r="N139" s="62"/>
      <c r="O139" s="62"/>
      <c r="P139" s="62"/>
      <c r="Q139" s="65"/>
    </row>
    <row r="140" spans="1:17" ht="45.75" thickBot="1" x14ac:dyDescent="0.25">
      <c r="A140" s="7" t="s">
        <v>0</v>
      </c>
      <c r="B140" s="8" t="s">
        <v>1</v>
      </c>
      <c r="C140" s="8" t="s">
        <v>9</v>
      </c>
      <c r="D140" s="8" t="s">
        <v>13</v>
      </c>
      <c r="E140" s="8" t="s">
        <v>100</v>
      </c>
      <c r="F140" s="8" t="s">
        <v>5</v>
      </c>
      <c r="G140" s="8" t="s">
        <v>6</v>
      </c>
      <c r="H140" s="8" t="s">
        <v>2</v>
      </c>
      <c r="I140" s="49" t="s">
        <v>23</v>
      </c>
      <c r="J140" s="8" t="s">
        <v>3</v>
      </c>
      <c r="K140" s="8" t="s">
        <v>4</v>
      </c>
      <c r="L140" s="9" t="s">
        <v>25</v>
      </c>
      <c r="M140" s="8" t="s">
        <v>14</v>
      </c>
      <c r="N140" s="98" t="s">
        <v>9</v>
      </c>
      <c r="O140" s="99"/>
      <c r="P140" s="99"/>
      <c r="Q140" s="100"/>
    </row>
    <row r="141" spans="1:17" x14ac:dyDescent="0.2">
      <c r="A141" s="101" t="s">
        <v>111</v>
      </c>
      <c r="B141" s="23"/>
      <c r="C141" s="23"/>
      <c r="D141" s="31"/>
      <c r="E141" s="31"/>
      <c r="F141" s="25"/>
      <c r="G141" s="25"/>
      <c r="H141" s="53"/>
      <c r="I141" s="52"/>
      <c r="J141" s="29"/>
      <c r="K141" s="54">
        <f>J141*H141</f>
        <v>0</v>
      </c>
      <c r="L141" s="54">
        <f>K141*1.3</f>
        <v>0</v>
      </c>
      <c r="M141" s="54"/>
      <c r="N141" s="103"/>
      <c r="O141" s="104"/>
      <c r="P141" s="104"/>
      <c r="Q141" s="105"/>
    </row>
    <row r="142" spans="1:17" x14ac:dyDescent="0.2">
      <c r="A142" s="102"/>
      <c r="B142" s="23"/>
      <c r="C142" s="23"/>
      <c r="D142" s="31"/>
      <c r="E142" s="31"/>
      <c r="F142" s="25"/>
      <c r="G142" s="25"/>
      <c r="H142" s="53"/>
      <c r="I142" s="52"/>
      <c r="J142" s="29"/>
      <c r="K142" s="54"/>
      <c r="L142" s="54"/>
      <c r="M142" s="54"/>
      <c r="N142" s="106"/>
      <c r="O142" s="107"/>
      <c r="P142" s="107"/>
      <c r="Q142" s="108"/>
    </row>
    <row r="143" spans="1:17" x14ac:dyDescent="0.2">
      <c r="A143" s="102"/>
      <c r="B143" s="23"/>
      <c r="C143" s="23"/>
      <c r="D143" s="24"/>
      <c r="E143" s="24"/>
      <c r="F143" s="25"/>
      <c r="G143" s="25"/>
      <c r="H143" s="25"/>
      <c r="I143" s="26"/>
      <c r="J143" s="29"/>
      <c r="K143" s="54"/>
      <c r="L143" s="54"/>
      <c r="M143" s="30"/>
      <c r="N143" s="106"/>
      <c r="O143" s="107"/>
      <c r="P143" s="107"/>
      <c r="Q143" s="108"/>
    </row>
    <row r="144" spans="1:17" x14ac:dyDescent="0.2">
      <c r="A144" s="102"/>
      <c r="B144" s="23"/>
      <c r="C144" s="23"/>
      <c r="D144" s="24"/>
      <c r="E144" s="24"/>
      <c r="F144" s="43"/>
      <c r="G144" s="25"/>
      <c r="H144" s="25"/>
      <c r="I144" s="26"/>
      <c r="J144" s="29"/>
      <c r="K144" s="54"/>
      <c r="L144" s="54"/>
      <c r="M144" s="30"/>
      <c r="N144" s="106"/>
      <c r="O144" s="107"/>
      <c r="P144" s="107"/>
      <c r="Q144" s="108"/>
    </row>
    <row r="145" spans="1:17" ht="15" thickBot="1" x14ac:dyDescent="0.25">
      <c r="A145" s="102"/>
      <c r="B145" s="23"/>
      <c r="C145" s="23"/>
      <c r="D145" s="24"/>
      <c r="E145" s="24"/>
      <c r="F145" s="25"/>
      <c r="G145" s="25"/>
      <c r="H145" s="25"/>
      <c r="I145" s="26"/>
      <c r="J145" s="35"/>
      <c r="K145" s="30"/>
      <c r="L145" s="30"/>
      <c r="M145" s="30"/>
      <c r="N145" s="106"/>
      <c r="O145" s="107"/>
      <c r="P145" s="107"/>
      <c r="Q145" s="108"/>
    </row>
    <row r="146" spans="1:17" ht="15" x14ac:dyDescent="0.2">
      <c r="A146" s="27"/>
      <c r="B146" s="109" t="s">
        <v>31</v>
      </c>
      <c r="C146" s="109"/>
      <c r="D146" s="109"/>
      <c r="E146" s="85"/>
      <c r="F146" s="110" t="s">
        <v>34</v>
      </c>
      <c r="G146" s="110"/>
      <c r="H146" s="17"/>
      <c r="I146" s="111" t="s">
        <v>8</v>
      </c>
      <c r="J146" s="112"/>
      <c r="K146" s="36" t="s">
        <v>10</v>
      </c>
      <c r="L146" s="113" t="s">
        <v>15</v>
      </c>
      <c r="M146" s="112"/>
      <c r="N146" s="17" t="s">
        <v>11</v>
      </c>
      <c r="O146" s="17" t="s">
        <v>12</v>
      </c>
      <c r="P146" s="86" t="s">
        <v>30</v>
      </c>
      <c r="Q146" s="19"/>
    </row>
    <row r="147" spans="1:17" ht="15" thickBot="1" x14ac:dyDescent="0.25">
      <c r="A147" s="28"/>
      <c r="B147" s="114"/>
      <c r="C147" s="114"/>
      <c r="D147" s="114"/>
      <c r="E147" s="87"/>
      <c r="F147" s="115"/>
      <c r="G147" s="115"/>
      <c r="H147" s="68"/>
      <c r="I147" s="116"/>
      <c r="J147" s="117"/>
      <c r="K147" s="87">
        <f>SUM(H141:H145)</f>
        <v>0</v>
      </c>
      <c r="L147" s="118">
        <f>M141</f>
        <v>0</v>
      </c>
      <c r="M147" s="119"/>
      <c r="N147" s="88">
        <v>0</v>
      </c>
      <c r="O147" s="88">
        <f>N147*L147</f>
        <v>0</v>
      </c>
      <c r="P147" s="88">
        <f>O147*5</f>
        <v>0</v>
      </c>
      <c r="Q147" s="22"/>
    </row>
    <row r="149" spans="1:17" x14ac:dyDescent="0.2">
      <c r="A149" s="1" t="s">
        <v>43</v>
      </c>
    </row>
    <row r="150" spans="1:17" x14ac:dyDescent="0.2">
      <c r="A150" s="1">
        <f>(K89+K72+K65+K56+K47+K39+K32+K25+K18+K9+K95+K102+K108+K114+K120)*1.5</f>
        <v>1023</v>
      </c>
    </row>
  </sheetData>
  <mergeCells count="198">
    <mergeCell ref="I65:J65"/>
    <mergeCell ref="L65:M65"/>
    <mergeCell ref="N68:Q70"/>
    <mergeCell ref="N42:Q45"/>
    <mergeCell ref="F89:G89"/>
    <mergeCell ref="L89:M89"/>
    <mergeCell ref="A3:A7"/>
    <mergeCell ref="N3:Q7"/>
    <mergeCell ref="I8:J8"/>
    <mergeCell ref="L8:M8"/>
    <mergeCell ref="A12:A15"/>
    <mergeCell ref="N12:Q15"/>
    <mergeCell ref="I17:J17"/>
    <mergeCell ref="L17:M17"/>
    <mergeCell ref="A21:A23"/>
    <mergeCell ref="N21:Q23"/>
    <mergeCell ref="I24:J24"/>
    <mergeCell ref="N50:Q54"/>
    <mergeCell ref="N74:Q74"/>
    <mergeCell ref="A75:A87"/>
    <mergeCell ref="N75:Q87"/>
    <mergeCell ref="F88:G88"/>
    <mergeCell ref="L88:M88"/>
    <mergeCell ref="A68:A70"/>
    <mergeCell ref="A59:A63"/>
    <mergeCell ref="I64:J64"/>
    <mergeCell ref="L64:M64"/>
    <mergeCell ref="A50:A54"/>
    <mergeCell ref="I55:J55"/>
    <mergeCell ref="L55:M55"/>
    <mergeCell ref="I56:J56"/>
    <mergeCell ref="L56:M56"/>
    <mergeCell ref="B31:D31"/>
    <mergeCell ref="B32:D32"/>
    <mergeCell ref="B38:D38"/>
    <mergeCell ref="B39:D39"/>
    <mergeCell ref="A42:A45"/>
    <mergeCell ref="I31:J31"/>
    <mergeCell ref="L31:M31"/>
    <mergeCell ref="I32:J32"/>
    <mergeCell ref="L32:M32"/>
    <mergeCell ref="A35:A37"/>
    <mergeCell ref="I38:J38"/>
    <mergeCell ref="F38:G38"/>
    <mergeCell ref="F39:G39"/>
    <mergeCell ref="F32:G32"/>
    <mergeCell ref="N2:Q2"/>
    <mergeCell ref="I39:J39"/>
    <mergeCell ref="L39:M39"/>
    <mergeCell ref="I25:J25"/>
    <mergeCell ref="L25:M25"/>
    <mergeCell ref="N11:Q11"/>
    <mergeCell ref="I9:J9"/>
    <mergeCell ref="L9:M9"/>
    <mergeCell ref="L24:M24"/>
    <mergeCell ref="N27:Q27"/>
    <mergeCell ref="N28:Q30"/>
    <mergeCell ref="N34:Q34"/>
    <mergeCell ref="N35:Q37"/>
    <mergeCell ref="L38:M38"/>
    <mergeCell ref="I18:J18"/>
    <mergeCell ref="L18:M18"/>
    <mergeCell ref="A28:A30"/>
    <mergeCell ref="N49:Q49"/>
    <mergeCell ref="N58:Q58"/>
    <mergeCell ref="N67:Q67"/>
    <mergeCell ref="N59:Q63"/>
    <mergeCell ref="B8:D8"/>
    <mergeCell ref="B9:D9"/>
    <mergeCell ref="F8:G8"/>
    <mergeCell ref="F9:G9"/>
    <mergeCell ref="B17:D17"/>
    <mergeCell ref="F17:G17"/>
    <mergeCell ref="B18:D18"/>
    <mergeCell ref="F18:G18"/>
    <mergeCell ref="B24:D24"/>
    <mergeCell ref="F24:G24"/>
    <mergeCell ref="B25:D25"/>
    <mergeCell ref="F25:G25"/>
    <mergeCell ref="N41:Q41"/>
    <mergeCell ref="I46:J46"/>
    <mergeCell ref="L46:M46"/>
    <mergeCell ref="I47:J47"/>
    <mergeCell ref="L47:M47"/>
    <mergeCell ref="N20:Q20"/>
    <mergeCell ref="F31:G31"/>
    <mergeCell ref="B88:D88"/>
    <mergeCell ref="B89:D89"/>
    <mergeCell ref="B56:D56"/>
    <mergeCell ref="F56:G56"/>
    <mergeCell ref="B64:D64"/>
    <mergeCell ref="F64:G64"/>
    <mergeCell ref="B65:D65"/>
    <mergeCell ref="F65:G65"/>
    <mergeCell ref="B46:D46"/>
    <mergeCell ref="F46:G46"/>
    <mergeCell ref="B47:D47"/>
    <mergeCell ref="F47:G47"/>
    <mergeCell ref="B55:D55"/>
    <mergeCell ref="F55:G55"/>
    <mergeCell ref="F72:G72"/>
    <mergeCell ref="B71:D71"/>
    <mergeCell ref="B72:D72"/>
    <mergeCell ref="F71:G71"/>
    <mergeCell ref="F102:G102"/>
    <mergeCell ref="L102:M102"/>
    <mergeCell ref="N91:Q91"/>
    <mergeCell ref="A92:A93"/>
    <mergeCell ref="N92:Q93"/>
    <mergeCell ref="B94:D94"/>
    <mergeCell ref="F94:G94"/>
    <mergeCell ref="L94:M94"/>
    <mergeCell ref="B95:D95"/>
    <mergeCell ref="F95:G95"/>
    <mergeCell ref="L95:M95"/>
    <mergeCell ref="B107:D107"/>
    <mergeCell ref="F107:G107"/>
    <mergeCell ref="I107:J107"/>
    <mergeCell ref="L107:M107"/>
    <mergeCell ref="N104:Q104"/>
    <mergeCell ref="A105:A106"/>
    <mergeCell ref="N105:Q106"/>
    <mergeCell ref="I71:J71"/>
    <mergeCell ref="I72:J72"/>
    <mergeCell ref="I88:J88"/>
    <mergeCell ref="I89:J89"/>
    <mergeCell ref="I94:J94"/>
    <mergeCell ref="I95:J95"/>
    <mergeCell ref="I101:J101"/>
    <mergeCell ref="I102:J102"/>
    <mergeCell ref="N97:Q97"/>
    <mergeCell ref="L72:M72"/>
    <mergeCell ref="L71:M71"/>
    <mergeCell ref="A98:A100"/>
    <mergeCell ref="N98:Q100"/>
    <mergeCell ref="B101:D101"/>
    <mergeCell ref="F101:G101"/>
    <mergeCell ref="L101:M101"/>
    <mergeCell ref="B102:D102"/>
    <mergeCell ref="A117:A118"/>
    <mergeCell ref="N117:Q118"/>
    <mergeCell ref="B108:D108"/>
    <mergeCell ref="F108:G108"/>
    <mergeCell ref="I108:J108"/>
    <mergeCell ref="L108:M108"/>
    <mergeCell ref="N110:Q110"/>
    <mergeCell ref="A111:A112"/>
    <mergeCell ref="N111:Q112"/>
    <mergeCell ref="B113:D113"/>
    <mergeCell ref="F113:G113"/>
    <mergeCell ref="I113:J113"/>
    <mergeCell ref="L113:M113"/>
    <mergeCell ref="B114:D114"/>
    <mergeCell ref="F114:G114"/>
    <mergeCell ref="I114:J114"/>
    <mergeCell ref="L114:M114"/>
    <mergeCell ref="N116:Q116"/>
    <mergeCell ref="B119:D119"/>
    <mergeCell ref="F119:G119"/>
    <mergeCell ref="I119:J119"/>
    <mergeCell ref="L119:M119"/>
    <mergeCell ref="B120:D120"/>
    <mergeCell ref="F120:G120"/>
    <mergeCell ref="I120:J120"/>
    <mergeCell ref="L120:M120"/>
    <mergeCell ref="N122:Q122"/>
    <mergeCell ref="A123:A127"/>
    <mergeCell ref="N123:Q127"/>
    <mergeCell ref="B128:D128"/>
    <mergeCell ref="F128:G128"/>
    <mergeCell ref="I128:J128"/>
    <mergeCell ref="L128:M128"/>
    <mergeCell ref="B129:D129"/>
    <mergeCell ref="F129:G129"/>
    <mergeCell ref="I129:J129"/>
    <mergeCell ref="L129:M129"/>
    <mergeCell ref="N140:Q140"/>
    <mergeCell ref="A141:A145"/>
    <mergeCell ref="N141:Q145"/>
    <mergeCell ref="B146:D146"/>
    <mergeCell ref="F146:G146"/>
    <mergeCell ref="I146:J146"/>
    <mergeCell ref="L146:M146"/>
    <mergeCell ref="B147:D147"/>
    <mergeCell ref="F147:G147"/>
    <mergeCell ref="I147:J147"/>
    <mergeCell ref="L147:M147"/>
    <mergeCell ref="N131:Q131"/>
    <mergeCell ref="A132:A136"/>
    <mergeCell ref="N132:Q136"/>
    <mergeCell ref="B137:D137"/>
    <mergeCell ref="F137:G137"/>
    <mergeCell ref="I137:J137"/>
    <mergeCell ref="L137:M137"/>
    <mergeCell ref="B138:D138"/>
    <mergeCell ref="F138:G138"/>
    <mergeCell ref="I138:J138"/>
    <mergeCell ref="L138:M138"/>
  </mergeCells>
  <pageMargins left="0.7" right="0.7" top="0.75" bottom="0.75" header="0.3" footer="0.3"/>
  <pageSetup paperSize="9" scale="77" orientation="landscape" horizontalDpi="300" verticalDpi="300" r:id="rId1"/>
  <headerFooter>
    <oddHeader>&amp;C&amp;"-,Bold"&amp;16תכנון גידולים - שקוף 9.2011-2.2012&amp;R&amp;"-,Bold"מאת: עידן אליקים
         אגרונום, חווה ואדם.</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תוכנית גידול</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Idan</dc:creator>
  <cp:lastModifiedBy>עידן אליקים</cp:lastModifiedBy>
  <cp:lastPrinted>2017-03-13T07:54:39Z</cp:lastPrinted>
  <dcterms:created xsi:type="dcterms:W3CDTF">2011-06-15T05:41:27Z</dcterms:created>
  <dcterms:modified xsi:type="dcterms:W3CDTF">2018-01-01T21:43:35Z</dcterms:modified>
</cp:coreProperties>
</file>