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עידן\Dropbox\תיקיות משותפות\תיקיית קורס חקלאות אקולוגית\מפת חלקה וטבלאות תכנון\"/>
    </mc:Choice>
  </mc:AlternateContent>
  <bookViews>
    <workbookView xWindow="360" yWindow="135" windowWidth="13395" windowHeight="7485"/>
  </bookViews>
  <sheets>
    <sheet name="תוכנית גידול" sheetId="1" r:id="rId1"/>
  </sheets>
  <calcPr calcId="152511"/>
</workbook>
</file>

<file path=xl/calcChain.xml><?xml version="1.0" encoding="utf-8"?>
<calcChain xmlns="http://schemas.openxmlformats.org/spreadsheetml/2006/main">
  <c r="L80" i="1" l="1"/>
  <c r="M80" i="1" s="1"/>
  <c r="L79" i="1"/>
  <c r="M79" i="1" s="1"/>
  <c r="L88" i="1"/>
  <c r="M88" i="1" s="1"/>
  <c r="L65" i="1"/>
  <c r="M65" i="1" s="1"/>
  <c r="L156" i="1"/>
  <c r="M156" i="1" s="1"/>
  <c r="L135" i="1"/>
  <c r="L197" i="1"/>
  <c r="L188" i="1"/>
  <c r="L179" i="1"/>
  <c r="L170" i="1"/>
  <c r="L161" i="1"/>
  <c r="L155" i="1"/>
  <c r="L154" i="1"/>
  <c r="L153" i="1"/>
  <c r="L152" i="1"/>
  <c r="L151" i="1"/>
  <c r="L145" i="1"/>
  <c r="L144" i="1"/>
  <c r="L129" i="1"/>
  <c r="Q203" i="1" l="1"/>
  <c r="R203" i="1" s="1"/>
  <c r="N203" i="1"/>
  <c r="M203" i="1"/>
  <c r="M197" i="1"/>
  <c r="N197" i="1" s="1"/>
  <c r="M153" i="1"/>
  <c r="M154" i="1"/>
  <c r="M155" i="1"/>
  <c r="L103" i="1"/>
  <c r="M103" i="1" s="1"/>
  <c r="L104" i="1"/>
  <c r="M104" i="1" s="1"/>
  <c r="L105" i="1"/>
  <c r="M105" i="1" s="1"/>
  <c r="L106" i="1"/>
  <c r="M106" i="1" s="1"/>
  <c r="L94" i="1" l="1"/>
  <c r="M94" i="1" s="1"/>
  <c r="L95" i="1"/>
  <c r="M95" i="1" s="1"/>
  <c r="L96" i="1"/>
  <c r="M96" i="1" s="1"/>
  <c r="L97" i="1"/>
  <c r="M97" i="1" s="1"/>
  <c r="L59" i="1"/>
  <c r="M59" i="1" s="1"/>
  <c r="L58" i="1"/>
  <c r="M58" i="1" s="1"/>
  <c r="L57" i="1"/>
  <c r="M57" i="1" s="1"/>
  <c r="L56" i="1"/>
  <c r="M56" i="1" s="1"/>
  <c r="L55" i="1"/>
  <c r="M55" i="1" s="1"/>
  <c r="L47" i="1"/>
  <c r="M47" i="1" s="1"/>
  <c r="L48" i="1"/>
  <c r="M48" i="1" s="1"/>
  <c r="L49" i="1"/>
  <c r="M49" i="1" s="1"/>
  <c r="L50" i="1"/>
  <c r="M50" i="1" s="1"/>
  <c r="L39" i="1" l="1"/>
  <c r="M39" i="1" s="1"/>
  <c r="O39" i="1" s="1"/>
  <c r="L40" i="1"/>
  <c r="M40" i="1" s="1"/>
  <c r="O40" i="1" s="1"/>
  <c r="L41" i="1"/>
  <c r="M41" i="1" s="1"/>
  <c r="O41" i="1" s="1"/>
  <c r="M35" i="1"/>
  <c r="L30" i="1"/>
  <c r="M30" i="1" s="1"/>
  <c r="O30" i="1" s="1"/>
  <c r="L31" i="1"/>
  <c r="M31" i="1" s="1"/>
  <c r="O31" i="1" s="1"/>
  <c r="L32" i="1"/>
  <c r="M32" i="1" s="1"/>
  <c r="O32" i="1" s="1"/>
  <c r="L33" i="1"/>
  <c r="M33" i="1" s="1"/>
  <c r="O33" i="1" s="1"/>
  <c r="L22" i="1"/>
  <c r="M22" i="1" s="1"/>
  <c r="O22" i="1" s="1"/>
  <c r="L13" i="1"/>
  <c r="M13" i="1" s="1"/>
  <c r="O13" i="1" s="1"/>
  <c r="L14" i="1"/>
  <c r="M14" i="1" s="1"/>
  <c r="O14" i="1" s="1"/>
  <c r="L15" i="1"/>
  <c r="M15" i="1" s="1"/>
  <c r="O15" i="1" s="1"/>
  <c r="L16" i="1"/>
  <c r="M16" i="1" s="1"/>
  <c r="O16" i="1" s="1"/>
  <c r="L17" i="1"/>
  <c r="M17" i="1" s="1"/>
  <c r="O17" i="1" s="1"/>
  <c r="M152" i="1" l="1"/>
  <c r="L120" i="1"/>
  <c r="M120" i="1" s="1"/>
  <c r="N194" i="1"/>
  <c r="Q194" i="1" s="1"/>
  <c r="R194" i="1" s="1"/>
  <c r="M194" i="1"/>
  <c r="M188" i="1"/>
  <c r="L102" i="1"/>
  <c r="M102" i="1" s="1"/>
  <c r="L93" i="1"/>
  <c r="M93" i="1" s="1"/>
  <c r="L87" i="1" l="1"/>
  <c r="M87" i="1" s="1"/>
  <c r="L82" i="1"/>
  <c r="M82" i="1" s="1"/>
  <c r="L81" i="1"/>
  <c r="M81" i="1" s="1"/>
  <c r="L71" i="1"/>
  <c r="M71" i="1" s="1"/>
  <c r="L64" i="1"/>
  <c r="M64" i="1" s="1"/>
  <c r="L29" i="1"/>
  <c r="M29" i="1" s="1"/>
  <c r="O29" i="1" s="1"/>
  <c r="L38" i="1"/>
  <c r="M38" i="1" s="1"/>
  <c r="O38" i="1" s="1"/>
  <c r="L46" i="1"/>
  <c r="M46" i="1" s="1"/>
  <c r="O145" i="1"/>
  <c r="O144" i="1"/>
  <c r="M145" i="1"/>
  <c r="L12" i="1"/>
  <c r="M12" i="1" s="1"/>
  <c r="O12" i="1" s="1"/>
  <c r="L3" i="1"/>
  <c r="M3" i="1" s="1"/>
  <c r="O3" i="1" s="1"/>
  <c r="N185" i="1"/>
  <c r="Q185" i="1" s="1"/>
  <c r="R185" i="1" s="1"/>
  <c r="M185" i="1"/>
  <c r="M179" i="1"/>
  <c r="N176" i="1"/>
  <c r="Q176" i="1" s="1"/>
  <c r="R176" i="1" s="1"/>
  <c r="M176" i="1"/>
  <c r="M170" i="1"/>
  <c r="N167" i="1"/>
  <c r="Q167" i="1" s="1"/>
  <c r="R167" i="1" s="1"/>
  <c r="M167" i="1"/>
  <c r="M161" i="1"/>
  <c r="N158" i="1"/>
  <c r="Q158" i="1" s="1"/>
  <c r="R158" i="1" s="1"/>
  <c r="M158" i="1"/>
  <c r="M151" i="1"/>
  <c r="N148" i="1"/>
  <c r="Q148" i="1" s="1"/>
  <c r="R148" i="1" s="1"/>
  <c r="M148" i="1"/>
  <c r="M144" i="1"/>
  <c r="N141" i="1"/>
  <c r="Q141" i="1" s="1"/>
  <c r="R141" i="1" s="1"/>
  <c r="M141" i="1"/>
  <c r="M135" i="1"/>
  <c r="N132" i="1"/>
  <c r="Q132" i="1" s="1"/>
  <c r="R132" i="1" s="1"/>
  <c r="M132" i="1"/>
  <c r="M129" i="1"/>
  <c r="N126" i="1" l="1"/>
  <c r="Q126" i="1" s="1"/>
  <c r="R126" i="1" s="1"/>
  <c r="M126" i="1"/>
  <c r="N117" i="1" l="1"/>
  <c r="Q117" i="1" s="1"/>
  <c r="R117" i="1" s="1"/>
  <c r="M117" i="1"/>
  <c r="M99" i="1"/>
  <c r="N90" i="1"/>
  <c r="Q90" i="1" s="1"/>
  <c r="R90" i="1" s="1"/>
  <c r="M90" i="1"/>
  <c r="N99" i="1" l="1"/>
  <c r="Q99" i="1" s="1"/>
  <c r="R99" i="1" s="1"/>
  <c r="Q108" i="1"/>
  <c r="R108" i="1" s="1"/>
  <c r="N84" i="1" l="1"/>
  <c r="Q84" i="1" s="1"/>
  <c r="R84" i="1" s="1"/>
  <c r="M84" i="1"/>
  <c r="Q76" i="1"/>
  <c r="Q61" i="1" l="1"/>
  <c r="R61" i="1" s="1"/>
  <c r="M43" i="1"/>
  <c r="M26" i="1"/>
  <c r="R9" i="1"/>
  <c r="Q68" i="1"/>
  <c r="R68" i="1" s="1"/>
  <c r="Q52" i="1"/>
  <c r="R52" i="1" s="1"/>
  <c r="N43" i="1"/>
  <c r="Q43" i="1" s="1"/>
  <c r="R43" i="1" s="1"/>
  <c r="R76" i="1" l="1"/>
  <c r="Q35" i="1"/>
  <c r="R35" i="1" s="1"/>
  <c r="N26" i="1"/>
  <c r="Q26" i="1" s="1"/>
  <c r="R26" i="1" s="1"/>
  <c r="Q9" i="1"/>
  <c r="Q19" i="1" l="1"/>
  <c r="R19" i="1" s="1"/>
</calcChain>
</file>

<file path=xl/sharedStrings.xml><?xml version="1.0" encoding="utf-8"?>
<sst xmlns="http://schemas.openxmlformats.org/spreadsheetml/2006/main" count="892" uniqueCount="187">
  <si>
    <t>גידול</t>
  </si>
  <si>
    <t>זן</t>
  </si>
  <si>
    <t>שטח לזריעה (מ"ר)</t>
  </si>
  <si>
    <t>מספר צמחים למ"ר</t>
  </si>
  <si>
    <t>מספר צמחים כולל</t>
  </si>
  <si>
    <t>תאריך התחלת אסיף</t>
  </si>
  <si>
    <t>תאריך סיום אסיף</t>
  </si>
  <si>
    <t>סיכום</t>
  </si>
  <si>
    <t>זמינות הירק לקטיף</t>
  </si>
  <si>
    <t>הערות</t>
  </si>
  <si>
    <t>שטח גידול</t>
  </si>
  <si>
    <t>מחיר לקילו</t>
  </si>
  <si>
    <t>סה"כ לחודש</t>
  </si>
  <si>
    <t>תאריך שתילה</t>
  </si>
  <si>
    <t>כמות (קילו)</t>
  </si>
  <si>
    <t>כמות בחודש</t>
  </si>
  <si>
    <t>מספר שתילים</t>
  </si>
  <si>
    <t>כמות סה"כ(קילו)</t>
  </si>
  <si>
    <t>מחיר לצרור</t>
  </si>
  <si>
    <t>סה"כ לתקופה</t>
  </si>
  <si>
    <t>לתקופה</t>
  </si>
  <si>
    <t>משתילה לקטיף</t>
  </si>
  <si>
    <t>משך קטיף</t>
  </si>
  <si>
    <t>חודש</t>
  </si>
  <si>
    <t>מנגולד</t>
  </si>
  <si>
    <t>מספר זרעים</t>
  </si>
  <si>
    <t>כמות (פירות)</t>
  </si>
  <si>
    <t>כמות כללית</t>
  </si>
  <si>
    <t>כמות (קלחים)</t>
  </si>
  <si>
    <t>ת. נביטה/שתיליה</t>
  </si>
  <si>
    <t>ניתן להוסיף</t>
  </si>
  <si>
    <t>תאריך זריעה</t>
  </si>
  <si>
    <t>סלק</t>
  </si>
  <si>
    <t>אוג'</t>
  </si>
  <si>
    <t>ספט'</t>
  </si>
  <si>
    <t>ספט</t>
  </si>
  <si>
    <t>תבלינים</t>
  </si>
  <si>
    <t>שמיר, כוסברה פטרוזיליה</t>
  </si>
  <si>
    <t>מז 3</t>
  </si>
  <si>
    <t>שום</t>
  </si>
  <si>
    <t>כרישה</t>
  </si>
  <si>
    <t>כרובית</t>
  </si>
  <si>
    <t>ברוקולי</t>
  </si>
  <si>
    <t>כרוב לבן</t>
  </si>
  <si>
    <t>כרוב אדום</t>
  </si>
  <si>
    <t>קולרבי</t>
  </si>
  <si>
    <t>צנונית</t>
  </si>
  <si>
    <t>סלרי</t>
  </si>
  <si>
    <t>גזר</t>
  </si>
  <si>
    <t>קייל</t>
  </si>
  <si>
    <t>אפונה</t>
  </si>
  <si>
    <t>תפו"א</t>
  </si>
  <si>
    <t>חסה</t>
  </si>
  <si>
    <t>ארטישוק</t>
  </si>
  <si>
    <t>בצל ירוק</t>
  </si>
  <si>
    <t>בצל יבש</t>
  </si>
  <si>
    <t>מרווח בשורה</t>
  </si>
  <si>
    <t>6 חודשים</t>
  </si>
  <si>
    <t>חד פעמי</t>
  </si>
  <si>
    <t>פברואר/מרץ</t>
  </si>
  <si>
    <t>שבועיים</t>
  </si>
  <si>
    <t>חודשיים-שלושה</t>
  </si>
  <si>
    <t>5-6 חודשים</t>
  </si>
  <si>
    <t>?</t>
  </si>
  <si>
    <t>אביב</t>
  </si>
  <si>
    <t>דזירה</t>
  </si>
  <si>
    <t>ינואר</t>
  </si>
  <si>
    <t>תאריכי שתילה</t>
  </si>
  <si>
    <t>90-120 יום</t>
  </si>
  <si>
    <t>3 חודשים</t>
  </si>
  <si>
    <t>דצמבר</t>
  </si>
  <si>
    <t>שלושה חודשים</t>
  </si>
  <si>
    <t>חודשיים</t>
  </si>
  <si>
    <t>חודש וחצי</t>
  </si>
  <si>
    <t>גבעולים</t>
  </si>
  <si>
    <t>שורש</t>
  </si>
  <si>
    <t>חלוקה פעם בחודש</t>
  </si>
  <si>
    <t>3.5-4 חודשים</t>
  </si>
  <si>
    <t>שומר</t>
  </si>
  <si>
    <t>ריינבאו</t>
  </si>
  <si>
    <t>תרד טורקי</t>
  </si>
  <si>
    <t>טורקי</t>
  </si>
  <si>
    <t>חודשיים וחצי</t>
  </si>
  <si>
    <t>שלג</t>
  </si>
  <si>
    <t>אייסברג</t>
  </si>
  <si>
    <t>חודשיים - שלושה</t>
  </si>
  <si>
    <t>שחר</t>
  </si>
  <si>
    <t>סוף אוקטובר (25)</t>
  </si>
  <si>
    <t>אם לפני אז אורי</t>
  </si>
  <si>
    <t>שתילים מחישתיל</t>
  </si>
  <si>
    <t>תחילת מאי, יוני, יולי</t>
  </si>
  <si>
    <t>סוף אוקטובר</t>
  </si>
  <si>
    <t>בלאנקה, סטאר</t>
  </si>
  <si>
    <t>מרתון</t>
  </si>
  <si>
    <t>מונקו</t>
  </si>
  <si>
    <t>ראש אחד</t>
  </si>
  <si>
    <t>מתפצל, מושך עד ינואר</t>
  </si>
  <si>
    <t>יחידה לסל פעם בשבועיים. סה"כ 30 יחידות בשבוע. שתילת חצי ארוגה אחת פעם בחודש.  שני שורות או שלוש. אפשר גם צמדים</t>
  </si>
  <si>
    <t>שבועיים- שלושה</t>
  </si>
  <si>
    <t>צרור של 7 צנוניות פעם בשבוע, כלומר 210 צנוניות בשבוע ו 420 לזריעה כל שבועיים. כמה שורות בארוגה? 3 בצמדים. לשלב בסופי ארוגה.</t>
  </si>
  <si>
    <t>עד תחילת פבואר</t>
  </si>
  <si>
    <t>עד תחילת מרץ</t>
  </si>
  <si>
    <t>ספט-פברואר</t>
  </si>
  <si>
    <t>גם דייקון</t>
  </si>
  <si>
    <t>שתילים</t>
  </si>
  <si>
    <t>כל השנה</t>
  </si>
  <si>
    <t>כל 30</t>
  </si>
  <si>
    <t>כל 20</t>
  </si>
  <si>
    <t>עגול</t>
  </si>
  <si>
    <t>תרמילים - גינה</t>
  </si>
  <si>
    <t>ערבית</t>
  </si>
  <si>
    <t>פטרוזיליה שורש</t>
  </si>
  <si>
    <t>2 אצבעות מרווח</t>
  </si>
  <si>
    <t>מצהיב מעודף מים - לא להרבות השקיה</t>
  </si>
  <si>
    <t>בייבי מיקס</t>
  </si>
  <si>
    <t>מז9,10</t>
  </si>
  <si>
    <t>מרץ</t>
  </si>
  <si>
    <t>שימוש בזרעים. 4 שורות בארוגה של מטר. לאחר הקטיף לייבש בשטח נשמר 4-5 חודשים במחסן. מחזור אחד בעונה. כמות דרושה - קילו בצל בשבוע לסל. כלומר יש לייצר 30 קילו בצל בשבוע חלוקה למשך חודשיים? כמה זמן חיי המדף של הבצל? כמות כללית 240 קילו. רוצים בצלים בינוניים במשקל 200 גרם. 5 בצלים בקילו. סה"כ 1200 בצלים. השקיה בהצפות פעם בשבוע, להכנס לדשן כל חודש וחצי. אחרי הצניחה עוד השקיה אחת.</t>
  </si>
  <si>
    <t>תחילת נוב</t>
  </si>
  <si>
    <t>תחילת דצמ</t>
  </si>
  <si>
    <t>תחילת ינוא</t>
  </si>
  <si>
    <t>תחילת פברוא</t>
  </si>
  <si>
    <t>נוב</t>
  </si>
  <si>
    <t>דצ</t>
  </si>
  <si>
    <t>ינו</t>
  </si>
  <si>
    <t>פב</t>
  </si>
  <si>
    <t>אפריל</t>
  </si>
  <si>
    <t>מאי</t>
  </si>
  <si>
    <t>ניתן לשתול כל השנה. רשת צל  ממאי עד אוגוסט כן. מחזור שתילה של בצל ירוק פעם בחודש. 2 צרורות לסל בשבוע, סה"כ 75 צרורות בשבוע. משך קטיף חודש, כלומר 300 צרורות במחזור. נשתול חצי ערוגה בחודש.</t>
  </si>
  <si>
    <t>מז 4</t>
  </si>
  <si>
    <t>מז19</t>
  </si>
  <si>
    <t>מז 10</t>
  </si>
  <si>
    <t>כמות (צרורות)</t>
  </si>
  <si>
    <t>3 יחידות לסל, פעם בשבועיים. סה"כ 110 יחידות בשבועיים ו330 למחזור.</t>
  </si>
  <si>
    <t>כמות (יחידות)</t>
  </si>
  <si>
    <t>מז20</t>
  </si>
  <si>
    <t>ספטמבר עד תחילת פברואר</t>
  </si>
  <si>
    <t>ספטמבר עד סוף ינואר</t>
  </si>
  <si>
    <t>תחילת אוק</t>
  </si>
  <si>
    <t>תחילת פבר</t>
  </si>
  <si>
    <t>כמות (יחידה)</t>
  </si>
  <si>
    <t>תחילת ינואר</t>
  </si>
  <si>
    <t>אמצע נוב</t>
  </si>
  <si>
    <t>אמצע ינואר</t>
  </si>
  <si>
    <t>יחידה לסל פעם בשבועיים. סה"כ 37 יחידות בשבוע. 80 יחידות בחודש. שתילת ארוגה אחת פעם בחודש.  שורה אחת בארוגה או שורה אחת של צמדים. מומלץ מחזור פעם בחודש בסירוגיות עם ברוקולי, משך קטיף שבועיים. עצירת שתילות בתחילת דצמבר ממשיך בינואר פברואר.</t>
  </si>
  <si>
    <t>שתי שורות בערוגה. ראש לסל פעם בשבוע. סה"כ 37 יחידות בשבוע. 80 יחידות במחזור פעם בחודש.</t>
  </si>
  <si>
    <t>ספטמבר עד פברואר</t>
  </si>
  <si>
    <t>יוני</t>
  </si>
  <si>
    <t>פברואר</t>
  </si>
  <si>
    <t>ספט-פבר</t>
  </si>
  <si>
    <t>5 חודשים</t>
  </si>
  <si>
    <t>שני צמדים. 3 סלקים לסל, 90 בשבוע. 270 בחודש.</t>
  </si>
  <si>
    <t>צילינדר</t>
  </si>
  <si>
    <t>דצמ</t>
  </si>
  <si>
    <t>2 צינורות, ארבע שורות בארוגה. זריעה צפופה. בעונה היבשה מומלץ הנבטה עם מתזים.</t>
  </si>
  <si>
    <t>פטרוזיליה עלים</t>
  </si>
  <si>
    <t xml:space="preserve"> אוקטובר, אפריל - מחזיק חצי שנה - שנה</t>
  </si>
  <si>
    <t>זריעה צפופה כל מין בנפרד</t>
  </si>
  <si>
    <t>דינוזאור, רוסי אדום, מסולסל</t>
  </si>
  <si>
    <t>סתיו, אביב</t>
  </si>
  <si>
    <t>פטרוזיליה חצי שנה</t>
  </si>
  <si>
    <t>יכול להגיע לשנה .+</t>
  </si>
  <si>
    <t>לקנות פקעות לסתיו ולאביב (12 קילו). ייבול צפוי 3.5 קילו למטר בסתיו ו4.8 למ"ר באביב (יכול להגיע אפילו עד ל 6 קילו למ"ר). אחרי הזריעה השקיה אחת ולחכות. לתלם פעמיים.</t>
  </si>
  <si>
    <t>נשמר באחסון חודשיים -שלושה</t>
  </si>
  <si>
    <t>אוקטובר, ינואר</t>
  </si>
  <si>
    <t>שלושה-ארבעה חודשים</t>
  </si>
  <si>
    <t>שתילה כל השנה. משתנה הזן באוקטובר</t>
  </si>
  <si>
    <t>שתילה באקטובר, נובמבר, דצמבר</t>
  </si>
  <si>
    <t>המרווח בשורה- כל 20 בעונה הגשומה, כל 30 בהשקיה בצמדים</t>
  </si>
  <si>
    <t>תות שדה</t>
  </si>
  <si>
    <t>שתילה בספטמבר בארוגות מוגבהות מאוד וחיפוי קרקע. במהלך החורף חיפוי עליו של ניילון עם קשתות. פתיחה ביום וסגירה בלילה.</t>
  </si>
  <si>
    <t>שתילים נובמבר</t>
  </si>
  <si>
    <t>ארבעה חודשים</t>
  </si>
  <si>
    <t>מחזור סתווי ומחזור אביבי</t>
  </si>
  <si>
    <t>פבר</t>
  </si>
  <si>
    <t>2 חסות לארגז, 60 חסות בשבוע,240 בחודש.</t>
  </si>
  <si>
    <t>4 יחידות פעם בשבועיים, כלומר 120 יחידות כל שבועיים. שתילת חצי ארוגה פעם בחודש. שתילה בצמדים שני צינורות. לשלב עם לפת או שומר.</t>
  </si>
  <si>
    <t>(10 קילו שום מאייל) להנביט לפני להשרות כמה שעות ולשים כמה ימים בקרטון עם בד ורשת צל מכסה ולהשקות כמה פעמים.</t>
  </si>
  <si>
    <t>לבן</t>
  </si>
  <si>
    <t>סימון ערוגה</t>
  </si>
  <si>
    <t>מספר שורות בערוגה</t>
  </si>
  <si>
    <t>שורה אחת</t>
  </si>
  <si>
    <t>צמדים</t>
  </si>
  <si>
    <t>נביטה גרועה, רבע ערוגה תפסה. חורים מולאו בקולרבי</t>
  </si>
  <si>
    <t>30/10</t>
  </si>
  <si>
    <t>משתילים של מתן</t>
  </si>
  <si>
    <t>הנבטה עם טפטפות או מתזים. בארוגה של מטר4  שורות בצמדים.מרווחים של שתי אצבעות בשורה. 10 גזרים לסל 300 גזרים בשבוע, 1200 בחודש. בספטמבר מומלץ לעשות זריעה של כמות כפולה וערוגה אחת לקטוף מוקדם כבייבי גזר בדילול מרווח של אצבע אחת.</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</si>
</sst>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6" x14ac:knownFonts="1">
    <font>
      <sz val="11"/>
      <color theme="1"/>
      <name val="Arial"/>
      <family val="2"/>
      <scheme val="minor"/>
    </font>
    <font>
      <b/>
      <sz val="11"/>
      <color theme="1"/>
      <name val="Arial"/>
      <family val="2"/>
      <scheme val="minor"/>
    </font>
    <font>
      <sz val="11"/>
      <color rgb="FFFF0000"/>
      <name val="Arial"/>
      <family val="2"/>
      <scheme val="minor"/>
    </font>
    <font>
      <sz val="11"/>
      <color rgb="FF006100"/>
      <name val="Arial"/>
      <family val="2"/>
      <scheme val="minor"/>
    </font>
    <font>
      <sz val="11"/>
      <color rgb="FF9C6500"/>
      <name val="Arial"/>
      <family val="2"/>
      <scheme val="minor"/>
    </font>
    <font>
      <b/>
      <sz val="11"/>
      <name val="Arial"/>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EB9C"/>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s>
  <cellStyleXfs count="3">
    <xf numFmtId="0" fontId="0" fillId="0" borderId="0"/>
    <xf numFmtId="0" fontId="3" fillId="4" borderId="0" applyNumberFormat="0" applyBorder="0" applyAlignment="0" applyProtection="0"/>
    <xf numFmtId="0" fontId="4" fillId="5" borderId="0" applyNumberFormat="0" applyBorder="0" applyAlignment="0" applyProtection="0"/>
  </cellStyleXfs>
  <cellXfs count="153">
    <xf numFmtId="0" fontId="0" fillId="0" borderId="0" xfId="0"/>
    <xf numFmtId="0" fontId="0" fillId="0" borderId="0" xfId="0" applyAlignment="1">
      <alignment readingOrder="2"/>
    </xf>
    <xf numFmtId="0" fontId="0" fillId="0" borderId="0" xfId="0" applyAlignment="1">
      <alignment horizontal="center" readingOrder="2"/>
    </xf>
    <xf numFmtId="0" fontId="0" fillId="0" borderId="1" xfId="0" applyBorder="1" applyAlignment="1">
      <alignment readingOrder="2"/>
    </xf>
    <xf numFmtId="0" fontId="0" fillId="0" borderId="1" xfId="0" applyFill="1" applyBorder="1" applyAlignment="1">
      <alignment horizontal="center" readingOrder="2"/>
    </xf>
    <xf numFmtId="0" fontId="0" fillId="0" borderId="7" xfId="0" applyBorder="1" applyAlignment="1">
      <alignment horizontal="center" readingOrder="2"/>
    </xf>
    <xf numFmtId="0" fontId="0" fillId="0" borderId="18" xfId="0" applyBorder="1" applyAlignment="1">
      <alignment horizontal="center" vertical="center" readingOrder="2"/>
    </xf>
    <xf numFmtId="0" fontId="1" fillId="2" borderId="10" xfId="0" applyFont="1" applyFill="1" applyBorder="1" applyAlignment="1">
      <alignment horizontal="center" vertical="center" wrapText="1" readingOrder="2"/>
    </xf>
    <xf numFmtId="0" fontId="1" fillId="0" borderId="11" xfId="0" applyFont="1" applyBorder="1" applyAlignment="1">
      <alignment horizontal="center" vertical="center" wrapText="1" readingOrder="2"/>
    </xf>
    <xf numFmtId="1" fontId="1" fillId="0" borderId="11" xfId="0" applyNumberFormat="1" applyFont="1" applyBorder="1" applyAlignment="1">
      <alignment horizontal="center" vertical="center" wrapText="1" readingOrder="2"/>
    </xf>
    <xf numFmtId="0" fontId="0" fillId="0" borderId="9" xfId="0" applyFill="1" applyBorder="1" applyAlignment="1">
      <alignment horizontal="center" readingOrder="2"/>
    </xf>
    <xf numFmtId="0" fontId="0" fillId="0" borderId="9" xfId="0" applyBorder="1" applyAlignment="1">
      <alignment horizontal="center" readingOrder="2"/>
    </xf>
    <xf numFmtId="0" fontId="0" fillId="0" borderId="9" xfId="0" applyBorder="1" applyAlignment="1">
      <alignment horizontal="center" vertical="center" readingOrder="2"/>
    </xf>
    <xf numFmtId="1" fontId="0" fillId="0" borderId="9" xfId="0" applyNumberFormat="1" applyBorder="1" applyAlignment="1">
      <alignment horizontal="center" readingOrder="2"/>
    </xf>
    <xf numFmtId="0" fontId="0" fillId="0" borderId="18" xfId="0" applyFill="1" applyBorder="1" applyAlignment="1">
      <alignment horizontal="center" readingOrder="2"/>
    </xf>
    <xf numFmtId="0" fontId="0" fillId="0" borderId="18" xfId="0" applyBorder="1" applyAlignment="1">
      <alignment horizontal="center" readingOrder="2"/>
    </xf>
    <xf numFmtId="0" fontId="0" fillId="0" borderId="2" xfId="0" applyBorder="1" applyAlignment="1">
      <alignment readingOrder="2"/>
    </xf>
    <xf numFmtId="0" fontId="0" fillId="0" borderId="3" xfId="0" applyBorder="1" applyAlignment="1">
      <alignment readingOrder="2"/>
    </xf>
    <xf numFmtId="0" fontId="0" fillId="0" borderId="3" xfId="0" applyBorder="1" applyAlignment="1">
      <alignment horizontal="center" readingOrder="2"/>
    </xf>
    <xf numFmtId="0" fontId="0" fillId="0" borderId="6" xfId="0" applyBorder="1" applyAlignment="1">
      <alignment horizontal="center" readingOrder="2"/>
    </xf>
    <xf numFmtId="0" fontId="0" fillId="0" borderId="7" xfId="0" applyBorder="1" applyAlignment="1">
      <alignment horizontal="center" vertical="center" readingOrder="2"/>
    </xf>
    <xf numFmtId="1" fontId="0" fillId="0" borderId="7" xfId="0" applyNumberFormat="1" applyBorder="1" applyAlignment="1">
      <alignment horizontal="center" readingOrder="2"/>
    </xf>
    <xf numFmtId="0" fontId="0" fillId="0" borderId="8" xfId="0" applyBorder="1" applyAlignment="1">
      <alignment horizontal="center" readingOrder="2"/>
    </xf>
    <xf numFmtId="0" fontId="0" fillId="0" borderId="18" xfId="0" applyBorder="1" applyAlignment="1">
      <alignment vertical="center" readingOrder="2"/>
    </xf>
    <xf numFmtId="0" fontId="0" fillId="0" borderId="2" xfId="0" applyFill="1" applyBorder="1" applyAlignment="1">
      <alignment horizontal="center" readingOrder="2"/>
    </xf>
    <xf numFmtId="0" fontId="0" fillId="0" borderId="2" xfId="0" applyBorder="1" applyAlignment="1">
      <alignment horizontal="center" readingOrder="2"/>
    </xf>
    <xf numFmtId="0" fontId="0" fillId="0" borderId="2" xfId="0" applyBorder="1" applyAlignment="1">
      <alignment horizontal="center" vertical="center" readingOrder="2"/>
    </xf>
    <xf numFmtId="0" fontId="1" fillId="0" borderId="12" xfId="0" applyFont="1" applyBorder="1" applyAlignment="1">
      <alignment horizontal="center" vertical="center" readingOrder="2"/>
    </xf>
    <xf numFmtId="0" fontId="0" fillId="0" borderId="15" xfId="0" applyBorder="1" applyAlignment="1">
      <alignment horizontal="center" vertical="center" readingOrder="2"/>
    </xf>
    <xf numFmtId="164" fontId="0" fillId="0" borderId="1" xfId="0" applyNumberFormat="1" applyBorder="1" applyAlignment="1">
      <alignment horizontal="center" readingOrder="2"/>
    </xf>
    <xf numFmtId="1" fontId="0" fillId="0" borderId="2" xfId="0" applyNumberFormat="1" applyBorder="1" applyAlignment="1">
      <alignment horizontal="center" readingOrder="2"/>
    </xf>
    <xf numFmtId="0" fontId="0" fillId="3" borderId="2" xfId="0" applyFill="1" applyBorder="1" applyAlignment="1">
      <alignment horizontal="center" readingOrder="2"/>
    </xf>
    <xf numFmtId="0" fontId="1" fillId="0" borderId="22" xfId="0" applyFont="1" applyBorder="1" applyAlignment="1">
      <alignment horizontal="center" vertical="center" wrapText="1" readingOrder="2"/>
    </xf>
    <xf numFmtId="0" fontId="0" fillId="0" borderId="0" xfId="0" applyAlignment="1">
      <alignment horizontal="center" vertical="center" readingOrder="2"/>
    </xf>
    <xf numFmtId="1" fontId="0" fillId="0" borderId="0" xfId="0" applyNumberFormat="1" applyAlignment="1">
      <alignment readingOrder="2"/>
    </xf>
    <xf numFmtId="164" fontId="0" fillId="0" borderId="2" xfId="0" applyNumberFormat="1" applyBorder="1" applyAlignment="1">
      <alignment horizontal="center" readingOrder="2"/>
    </xf>
    <xf numFmtId="0" fontId="0" fillId="0" borderId="4" xfId="0" applyBorder="1" applyAlignment="1">
      <alignment readingOrder="2"/>
    </xf>
    <xf numFmtId="0" fontId="0" fillId="0" borderId="5" xfId="0" applyBorder="1" applyAlignment="1">
      <alignment readingOrder="2"/>
    </xf>
    <xf numFmtId="0" fontId="0" fillId="0" borderId="29" xfId="0" applyFill="1" applyBorder="1" applyAlignment="1">
      <alignment horizontal="center" readingOrder="2"/>
    </xf>
    <xf numFmtId="0" fontId="0" fillId="0" borderId="30" xfId="0" applyBorder="1" applyAlignment="1">
      <alignment horizontal="center" vertical="center" readingOrder="2"/>
    </xf>
    <xf numFmtId="0" fontId="0" fillId="0" borderId="1" xfId="0" applyBorder="1" applyAlignment="1">
      <alignment vertical="center" readingOrder="2"/>
    </xf>
    <xf numFmtId="0" fontId="1" fillId="0" borderId="1" xfId="0" applyFont="1" applyBorder="1" applyAlignment="1">
      <alignment horizontal="center" vertical="center" wrapText="1" readingOrder="2"/>
    </xf>
    <xf numFmtId="49" fontId="0" fillId="0" borderId="2" xfId="0" applyNumberFormat="1" applyBorder="1" applyAlignment="1">
      <alignment horizontal="center" readingOrder="2"/>
    </xf>
    <xf numFmtId="0" fontId="0" fillId="0" borderId="1" xfId="0" applyBorder="1"/>
    <xf numFmtId="0" fontId="2" fillId="0" borderId="2" xfId="0" applyFont="1" applyBorder="1" applyAlignment="1">
      <alignment wrapText="1" readingOrder="2"/>
    </xf>
    <xf numFmtId="0" fontId="0" fillId="3" borderId="1" xfId="0" applyFill="1" applyBorder="1" applyAlignment="1">
      <alignment horizontal="center" vertical="center" readingOrder="2"/>
    </xf>
    <xf numFmtId="0" fontId="0" fillId="0" borderId="20" xfId="0" applyBorder="1" applyAlignment="1">
      <alignment horizontal="center" readingOrder="2"/>
    </xf>
    <xf numFmtId="0" fontId="1" fillId="0" borderId="17" xfId="0" applyFont="1" applyBorder="1" applyAlignment="1">
      <alignment horizontal="center" vertical="center" wrapText="1" readingOrder="2"/>
    </xf>
    <xf numFmtId="0" fontId="0" fillId="0" borderId="1" xfId="0" applyBorder="1" applyAlignment="1">
      <alignment horizontal="center" vertical="center" readingOrder="2"/>
    </xf>
    <xf numFmtId="0" fontId="0" fillId="0" borderId="1" xfId="0" applyBorder="1" applyAlignment="1">
      <alignment horizontal="center" readingOrder="2"/>
    </xf>
    <xf numFmtId="1" fontId="0" fillId="0" borderId="1" xfId="0" applyNumberFormat="1" applyBorder="1" applyAlignment="1">
      <alignment horizontal="center" readingOrder="2"/>
    </xf>
    <xf numFmtId="0" fontId="0" fillId="0" borderId="2" xfId="0" applyBorder="1"/>
    <xf numFmtId="0" fontId="0" fillId="0" borderId="7" xfId="0" applyBorder="1" applyAlignment="1">
      <alignment readingOrder="2"/>
    </xf>
    <xf numFmtId="1" fontId="0" fillId="0" borderId="2" xfId="0" applyNumberFormat="1" applyBorder="1" applyAlignment="1">
      <alignment readingOrder="2"/>
    </xf>
    <xf numFmtId="0" fontId="1" fillId="0" borderId="36" xfId="0" applyFont="1" applyBorder="1" applyAlignment="1">
      <alignment horizontal="center" vertical="center" readingOrder="2"/>
    </xf>
    <xf numFmtId="0" fontId="0" fillId="0" borderId="3" xfId="0" applyBorder="1" applyAlignment="1">
      <alignment horizontal="center" vertical="center" readingOrder="2"/>
    </xf>
    <xf numFmtId="0" fontId="0" fillId="0" borderId="13" xfId="0" applyBorder="1" applyAlignment="1">
      <alignment readingOrder="2"/>
    </xf>
    <xf numFmtId="0" fontId="0" fillId="0" borderId="37" xfId="0" applyBorder="1" applyAlignment="1">
      <alignment horizontal="center" vertical="center" readingOrder="2"/>
    </xf>
    <xf numFmtId="0" fontId="0" fillId="0" borderId="16" xfId="0" applyBorder="1" applyAlignment="1">
      <alignment readingOrder="2"/>
    </xf>
    <xf numFmtId="0" fontId="0" fillId="0" borderId="2" xfId="0" applyBorder="1" applyAlignment="1">
      <alignment vertical="center" readingOrder="2"/>
    </xf>
    <xf numFmtId="0" fontId="0" fillId="0" borderId="29" xfId="0" applyBorder="1" applyAlignment="1">
      <alignment vertical="center" readingOrder="2"/>
    </xf>
    <xf numFmtId="0" fontId="0" fillId="0" borderId="1" xfId="0" applyBorder="1" applyAlignment="1">
      <alignment horizontal="right" vertical="center" wrapText="1" readingOrder="2"/>
    </xf>
    <xf numFmtId="0" fontId="0" fillId="0" borderId="0" xfId="0" applyBorder="1" applyAlignment="1">
      <alignment vertical="center" readingOrder="2"/>
    </xf>
    <xf numFmtId="0" fontId="0" fillId="0" borderId="1" xfId="0" applyBorder="1" applyAlignment="1">
      <alignment vertical="center" wrapText="1" readingOrder="2"/>
    </xf>
    <xf numFmtId="0" fontId="0" fillId="0" borderId="3"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0" fillId="0" borderId="3" xfId="0" applyBorder="1" applyAlignment="1">
      <alignment horizontal="center" vertical="center" readingOrder="2"/>
    </xf>
    <xf numFmtId="0" fontId="0" fillId="0" borderId="3"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0" fillId="0" borderId="9" xfId="0" applyBorder="1" applyAlignment="1">
      <alignment horizontal="center" vertical="center" readingOrder="2"/>
    </xf>
    <xf numFmtId="0" fontId="0" fillId="0" borderId="7" xfId="0" applyBorder="1" applyAlignment="1">
      <alignment horizontal="center" readingOrder="2"/>
    </xf>
    <xf numFmtId="0" fontId="0" fillId="0" borderId="3" xfId="0" applyBorder="1" applyAlignment="1">
      <alignment horizontal="center" readingOrder="2"/>
    </xf>
    <xf numFmtId="0" fontId="0" fillId="0" borderId="3" xfId="0" applyBorder="1" applyAlignment="1">
      <alignment horizontal="center" vertical="center" readingOrder="2"/>
    </xf>
    <xf numFmtId="0" fontId="0" fillId="0" borderId="7" xfId="0" applyBorder="1" applyAlignment="1">
      <alignment horizontal="center" vertical="center" readingOrder="2"/>
    </xf>
    <xf numFmtId="0" fontId="3" fillId="4" borderId="12" xfId="1" applyBorder="1" applyAlignment="1">
      <alignment readingOrder="2"/>
    </xf>
    <xf numFmtId="0" fontId="3" fillId="4" borderId="13" xfId="1" applyBorder="1" applyAlignment="1">
      <alignment readingOrder="2"/>
    </xf>
    <xf numFmtId="0" fontId="3" fillId="4" borderId="13" xfId="1" applyBorder="1" applyAlignment="1">
      <alignment horizontal="center" vertical="center" readingOrder="2"/>
    </xf>
    <xf numFmtId="1" fontId="3" fillId="4" borderId="13" xfId="1" applyNumberFormat="1" applyBorder="1" applyAlignment="1">
      <alignment readingOrder="2"/>
    </xf>
    <xf numFmtId="0" fontId="3" fillId="4" borderId="14" xfId="1" applyBorder="1" applyAlignment="1">
      <alignment readingOrder="2"/>
    </xf>
    <xf numFmtId="0" fontId="3" fillId="4" borderId="35" xfId="1" applyBorder="1" applyAlignment="1">
      <alignment readingOrder="2"/>
    </xf>
    <xf numFmtId="0" fontId="3" fillId="4" borderId="0" xfId="1" applyBorder="1" applyAlignment="1">
      <alignment readingOrder="2"/>
    </xf>
    <xf numFmtId="0" fontId="3" fillId="4" borderId="0" xfId="1" applyBorder="1" applyAlignment="1">
      <alignment horizontal="center" vertical="center" readingOrder="2"/>
    </xf>
    <xf numFmtId="1" fontId="3" fillId="4" borderId="0" xfId="1" applyNumberFormat="1" applyBorder="1" applyAlignment="1">
      <alignment readingOrder="2"/>
    </xf>
    <xf numFmtId="0" fontId="3" fillId="4" borderId="34" xfId="1" applyBorder="1" applyAlignment="1">
      <alignment readingOrder="2"/>
    </xf>
    <xf numFmtId="0" fontId="0" fillId="0" borderId="7" xfId="0" applyBorder="1" applyAlignment="1">
      <alignment horizontal="center" vertical="center" readingOrder="2"/>
    </xf>
    <xf numFmtId="0" fontId="0" fillId="0" borderId="7" xfId="0" applyBorder="1" applyAlignment="1">
      <alignment horizontal="center" vertical="center" readingOrder="2"/>
    </xf>
    <xf numFmtId="0" fontId="0" fillId="0" borderId="18" xfId="0" applyFill="1" applyBorder="1" applyAlignment="1">
      <alignment horizontal="center" vertical="center" readingOrder="2"/>
    </xf>
    <xf numFmtId="0" fontId="0" fillId="0" borderId="3" xfId="0" applyBorder="1" applyAlignment="1">
      <alignment horizontal="center" vertical="center" readingOrder="2"/>
    </xf>
    <xf numFmtId="0" fontId="0" fillId="0" borderId="3"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0" fillId="0" borderId="0" xfId="0" applyAlignment="1">
      <alignment horizontal="right" readingOrder="2"/>
    </xf>
    <xf numFmtId="0" fontId="1" fillId="0" borderId="21" xfId="0" applyFont="1" applyBorder="1" applyAlignment="1">
      <alignment horizontal="center" vertical="center" wrapText="1" readingOrder="2"/>
    </xf>
    <xf numFmtId="0" fontId="1" fillId="0" borderId="13" xfId="0" applyFont="1" applyBorder="1" applyAlignment="1">
      <alignment horizontal="center" vertical="center" wrapText="1" readingOrder="2"/>
    </xf>
    <xf numFmtId="0" fontId="1" fillId="0" borderId="14" xfId="0" applyFont="1" applyBorder="1" applyAlignment="1">
      <alignment horizontal="center" vertical="center" wrapText="1" readingOrder="2"/>
    </xf>
    <xf numFmtId="16" fontId="0" fillId="0" borderId="1" xfId="0" applyNumberFormat="1" applyFill="1" applyBorder="1" applyAlignment="1">
      <alignment horizontal="center" readingOrder="2"/>
    </xf>
    <xf numFmtId="16" fontId="0" fillId="0" borderId="2" xfId="0" applyNumberFormat="1" applyFill="1" applyBorder="1" applyAlignment="1">
      <alignment horizontal="center" readingOrder="2"/>
    </xf>
    <xf numFmtId="16" fontId="0" fillId="3" borderId="2" xfId="0" applyNumberFormat="1" applyFill="1" applyBorder="1" applyAlignment="1">
      <alignment horizontal="center" readingOrder="2"/>
    </xf>
    <xf numFmtId="16" fontId="0" fillId="0" borderId="0" xfId="0" applyNumberFormat="1" applyAlignment="1">
      <alignment readingOrder="2"/>
    </xf>
    <xf numFmtId="16" fontId="0" fillId="0" borderId="2" xfId="0" applyNumberFormat="1" applyBorder="1" applyAlignment="1">
      <alignment horizontal="center" readingOrder="2"/>
    </xf>
    <xf numFmtId="16" fontId="0" fillId="0" borderId="1" xfId="0" applyNumberFormat="1" applyFill="1" applyBorder="1" applyAlignment="1">
      <alignment horizontal="center" vertical="center" readingOrder="2"/>
    </xf>
    <xf numFmtId="0" fontId="1" fillId="0" borderId="32" xfId="0" applyFont="1" applyBorder="1" applyAlignment="1">
      <alignment horizontal="center" vertical="center" wrapText="1" readingOrder="2"/>
    </xf>
    <xf numFmtId="0" fontId="1" fillId="0" borderId="33" xfId="0" applyFont="1" applyBorder="1" applyAlignment="1">
      <alignment horizontal="center" vertical="center" wrapText="1" readingOrder="2"/>
    </xf>
    <xf numFmtId="0" fontId="0" fillId="0" borderId="21" xfId="0" applyBorder="1" applyAlignment="1">
      <alignment horizontal="right" vertical="top" wrapText="1" readingOrder="2"/>
    </xf>
    <xf numFmtId="0" fontId="0" fillId="0" borderId="13" xfId="0" applyBorder="1" applyAlignment="1">
      <alignment horizontal="right" vertical="top" wrapText="1" readingOrder="2"/>
    </xf>
    <xf numFmtId="0" fontId="0" fillId="0" borderId="14" xfId="0" applyBorder="1" applyAlignment="1">
      <alignment horizontal="right" vertical="top" wrapText="1" readingOrder="2"/>
    </xf>
    <xf numFmtId="0" fontId="0" fillId="0" borderId="22" xfId="0" applyBorder="1" applyAlignment="1">
      <alignment horizontal="right" vertical="top" wrapText="1" readingOrder="2"/>
    </xf>
    <xf numFmtId="0" fontId="0" fillId="0" borderId="0" xfId="0" applyBorder="1" applyAlignment="1">
      <alignment horizontal="right" vertical="top" wrapText="1" readingOrder="2"/>
    </xf>
    <xf numFmtId="0" fontId="0" fillId="0" borderId="34" xfId="0" applyBorder="1" applyAlignment="1">
      <alignment horizontal="right" vertical="top" wrapText="1" readingOrder="2"/>
    </xf>
    <xf numFmtId="0" fontId="0" fillId="0" borderId="3" xfId="0" applyBorder="1" applyAlignment="1">
      <alignment horizontal="center" vertical="center" readingOrder="2"/>
    </xf>
    <xf numFmtId="0" fontId="0" fillId="0" borderId="3" xfId="0" applyBorder="1" applyAlignment="1">
      <alignment horizontal="center" readingOrder="2"/>
    </xf>
    <xf numFmtId="0" fontId="0" fillId="0" borderId="28" xfId="0" applyBorder="1" applyAlignment="1">
      <alignment horizontal="center" readingOrder="2"/>
    </xf>
    <xf numFmtId="0" fontId="0" fillId="0" borderId="5" xfId="0" applyBorder="1" applyAlignment="1">
      <alignment horizontal="center" readingOrder="2"/>
    </xf>
    <xf numFmtId="0" fontId="0" fillId="0" borderId="4"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0" fillId="0" borderId="31" xfId="0" applyBorder="1" applyAlignment="1">
      <alignment horizontal="center" readingOrder="2"/>
    </xf>
    <xf numFmtId="0" fontId="0" fillId="0" borderId="20" xfId="0" applyBorder="1" applyAlignment="1">
      <alignment horizontal="center" readingOrder="2"/>
    </xf>
    <xf numFmtId="1" fontId="0" fillId="0" borderId="19" xfId="0" applyNumberFormat="1" applyBorder="1" applyAlignment="1">
      <alignment horizontal="center" readingOrder="2"/>
    </xf>
    <xf numFmtId="1" fontId="0" fillId="0" borderId="20" xfId="0" applyNumberFormat="1" applyBorder="1" applyAlignment="1">
      <alignment horizontal="center" readingOrder="2"/>
    </xf>
    <xf numFmtId="0" fontId="0" fillId="0" borderId="21" xfId="0" applyBorder="1" applyAlignment="1">
      <alignment horizontal="center" vertical="top" wrapText="1" readingOrder="2"/>
    </xf>
    <xf numFmtId="0" fontId="0" fillId="0" borderId="13" xfId="0" applyBorder="1" applyAlignment="1">
      <alignment horizontal="center" vertical="top" wrapText="1" readingOrder="2"/>
    </xf>
    <xf numFmtId="0" fontId="0" fillId="0" borderId="14" xfId="0" applyBorder="1" applyAlignment="1">
      <alignment horizontal="center" vertical="top" wrapText="1" readingOrder="2"/>
    </xf>
    <xf numFmtId="0" fontId="0" fillId="0" borderId="22" xfId="0" applyBorder="1" applyAlignment="1">
      <alignment horizontal="center" vertical="top" wrapText="1" readingOrder="2"/>
    </xf>
    <xf numFmtId="0" fontId="0" fillId="0" borderId="0" xfId="0" applyBorder="1" applyAlignment="1">
      <alignment horizontal="center" vertical="top" wrapText="1" readingOrder="2"/>
    </xf>
    <xf numFmtId="0" fontId="0" fillId="0" borderId="34" xfId="0" applyBorder="1" applyAlignment="1">
      <alignment horizontal="center" vertical="top" wrapText="1" readingOrder="2"/>
    </xf>
    <xf numFmtId="0" fontId="0" fillId="0" borderId="0" xfId="0" applyFont="1" applyBorder="1" applyAlignment="1">
      <alignment horizontal="right" vertical="top" wrapText="1" readingOrder="2"/>
    </xf>
    <xf numFmtId="0" fontId="0" fillId="0" borderId="34" xfId="0" applyFont="1" applyBorder="1" applyAlignment="1">
      <alignment horizontal="right" vertical="top" wrapText="1" readingOrder="2"/>
    </xf>
    <xf numFmtId="0" fontId="1" fillId="0" borderId="33" xfId="0" applyFont="1" applyBorder="1" applyAlignment="1">
      <alignment horizontal="center" vertical="center" readingOrder="2"/>
    </xf>
    <xf numFmtId="0" fontId="0" fillId="0" borderId="27" xfId="0" applyBorder="1" applyAlignment="1">
      <alignment horizontal="center" readingOrder="2"/>
    </xf>
    <xf numFmtId="0" fontId="1" fillId="0" borderId="23" xfId="0" applyFont="1" applyBorder="1" applyAlignment="1">
      <alignment horizontal="center" vertical="center" wrapText="1" readingOrder="2"/>
    </xf>
    <xf numFmtId="0" fontId="1" fillId="0" borderId="24" xfId="0" applyFont="1" applyBorder="1" applyAlignment="1">
      <alignment horizontal="center" vertical="center" wrapText="1" readingOrder="2"/>
    </xf>
    <xf numFmtId="0" fontId="1" fillId="0" borderId="25" xfId="0" applyFont="1" applyBorder="1" applyAlignment="1">
      <alignment horizontal="center" vertical="center" wrapText="1" readingOrder="2"/>
    </xf>
    <xf numFmtId="0" fontId="4" fillId="5" borderId="32" xfId="2" applyBorder="1" applyAlignment="1">
      <alignment horizontal="center" vertical="center" wrapText="1" readingOrder="2"/>
    </xf>
    <xf numFmtId="0" fontId="4" fillId="5" borderId="33" xfId="2" applyBorder="1" applyAlignment="1">
      <alignment horizontal="center" vertical="center" wrapText="1" readingOrder="2"/>
    </xf>
    <xf numFmtId="0" fontId="5" fillId="3" borderId="32" xfId="2" applyFont="1" applyFill="1" applyBorder="1" applyAlignment="1">
      <alignment horizontal="center" vertical="center" wrapText="1" readingOrder="2"/>
    </xf>
    <xf numFmtId="0" fontId="5" fillId="3" borderId="33" xfId="2" applyFont="1" applyFill="1" applyBorder="1" applyAlignment="1">
      <alignment horizontal="center" vertical="center" wrapText="1" readingOrder="2"/>
    </xf>
    <xf numFmtId="0" fontId="5" fillId="3" borderId="38" xfId="2" applyFont="1" applyFill="1" applyBorder="1" applyAlignment="1">
      <alignment horizontal="center" vertical="center" wrapText="1" readingOrder="2"/>
    </xf>
    <xf numFmtId="0" fontId="0" fillId="0" borderId="4" xfId="0" applyBorder="1" applyAlignment="1">
      <alignment horizontal="center" vertical="center" readingOrder="2"/>
    </xf>
    <xf numFmtId="0" fontId="0" fillId="0" borderId="5" xfId="0" applyBorder="1" applyAlignment="1">
      <alignment horizontal="center" vertical="center" readingOrder="2"/>
    </xf>
    <xf numFmtId="0" fontId="0" fillId="0" borderId="19" xfId="0" applyBorder="1" applyAlignment="1">
      <alignment horizontal="center" vertical="center" readingOrder="2"/>
    </xf>
    <xf numFmtId="0" fontId="0" fillId="0" borderId="20" xfId="0" applyBorder="1" applyAlignment="1">
      <alignment horizontal="center" vertical="center" readingOrder="2"/>
    </xf>
    <xf numFmtId="0" fontId="0" fillId="0" borderId="26" xfId="0" applyBorder="1" applyAlignment="1">
      <alignment horizontal="center" readingOrder="2"/>
    </xf>
    <xf numFmtId="16" fontId="0" fillId="0" borderId="7" xfId="0" applyNumberFormat="1" applyBorder="1" applyAlignment="1">
      <alignment horizontal="center" readingOrder="2"/>
    </xf>
    <xf numFmtId="0" fontId="0" fillId="0" borderId="9" xfId="0" applyBorder="1" applyAlignment="1">
      <alignment horizontal="center" vertical="center" readingOrder="2"/>
    </xf>
    <xf numFmtId="0" fontId="1" fillId="0" borderId="21" xfId="0" applyFont="1" applyBorder="1" applyAlignment="1">
      <alignment horizontal="center" vertical="center" wrapText="1" readingOrder="2"/>
    </xf>
    <xf numFmtId="0" fontId="1" fillId="0" borderId="13" xfId="0" applyFont="1" applyBorder="1" applyAlignment="1">
      <alignment horizontal="center" vertical="center" wrapText="1" readingOrder="2"/>
    </xf>
    <xf numFmtId="0" fontId="1" fillId="0" borderId="14" xfId="0" applyFont="1" applyBorder="1" applyAlignment="1">
      <alignment horizontal="center" vertical="center" wrapText="1" readingOrder="2"/>
    </xf>
    <xf numFmtId="1" fontId="0" fillId="0" borderId="7" xfId="0" applyNumberFormat="1" applyBorder="1" applyAlignment="1">
      <alignment horizontal="center" readingOrder="2"/>
    </xf>
    <xf numFmtId="0" fontId="0" fillId="0" borderId="19" xfId="0" applyBorder="1" applyAlignment="1">
      <alignment horizontal="center" readingOrder="2"/>
    </xf>
    <xf numFmtId="0" fontId="1" fillId="0" borderId="38" xfId="0" applyFont="1" applyBorder="1" applyAlignment="1">
      <alignment horizontal="center" vertical="center" wrapText="1" readingOrder="2"/>
    </xf>
  </cellXfs>
  <cellStyles count="3">
    <cellStyle name="Good" xfId="1" builtinId="26"/>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3"/>
  <sheetViews>
    <sheetView rightToLeft="1" tabSelected="1" topLeftCell="A92" zoomScale="90" zoomScaleNormal="90" workbookViewId="0">
      <selection activeCell="P93" sqref="P93:S97"/>
    </sheetView>
  </sheetViews>
  <sheetFormatPr defaultColWidth="9.125" defaultRowHeight="14.25" x14ac:dyDescent="0.2"/>
  <cols>
    <col min="1" max="1" width="10.875" style="1" customWidth="1"/>
    <col min="2" max="2" width="21.875" style="1" bestFit="1" customWidth="1"/>
    <col min="3" max="3" width="10.875" style="1" customWidth="1"/>
    <col min="4" max="4" width="12.375" style="1" bestFit="1" customWidth="1"/>
    <col min="5" max="5" width="14" style="1" bestFit="1" customWidth="1"/>
    <col min="6" max="6" width="9.125" style="1"/>
    <col min="7" max="7" width="11.375" style="1" bestFit="1" customWidth="1"/>
    <col min="8" max="8" width="9.125" style="1"/>
    <col min="9" max="9" width="9" style="33"/>
    <col min="10" max="11" width="9.125" style="33"/>
    <col min="12" max="13" width="9.125" style="1"/>
    <col min="14" max="14" width="9.125" style="34"/>
    <col min="15" max="15" width="12.25" style="1" customWidth="1"/>
    <col min="16" max="16" width="10.25" style="1" customWidth="1"/>
    <col min="17" max="17" width="11.75" style="1" customWidth="1"/>
    <col min="18" max="18" width="12.375" style="1" customWidth="1"/>
    <col min="19" max="16384" width="9.125" style="1"/>
  </cols>
  <sheetData>
    <row r="1" spans="1:19" ht="15" thickBot="1" x14ac:dyDescent="0.25">
      <c r="A1" s="76"/>
      <c r="B1" s="77"/>
      <c r="C1" s="77"/>
      <c r="D1" s="77"/>
      <c r="E1" s="77"/>
      <c r="F1" s="77"/>
      <c r="G1" s="77"/>
      <c r="H1" s="77"/>
      <c r="I1" s="78"/>
      <c r="J1" s="78"/>
      <c r="K1" s="78"/>
      <c r="L1" s="77"/>
      <c r="M1" s="77"/>
      <c r="N1" s="79"/>
      <c r="O1" s="77"/>
      <c r="P1" s="77"/>
      <c r="Q1" s="77"/>
      <c r="R1" s="77"/>
      <c r="S1" s="80"/>
    </row>
    <row r="2" spans="1:19" ht="45.75" thickBot="1" x14ac:dyDescent="0.25">
      <c r="A2" s="7" t="s">
        <v>0</v>
      </c>
      <c r="B2" s="8" t="s">
        <v>1</v>
      </c>
      <c r="C2" s="8" t="s">
        <v>9</v>
      </c>
      <c r="D2" s="8" t="s">
        <v>13</v>
      </c>
      <c r="E2" s="8" t="s">
        <v>29</v>
      </c>
      <c r="F2" s="8" t="s">
        <v>5</v>
      </c>
      <c r="G2" s="8" t="s">
        <v>6</v>
      </c>
      <c r="H2" s="8" t="s">
        <v>2</v>
      </c>
      <c r="I2" s="8" t="s">
        <v>179</v>
      </c>
      <c r="J2" s="8" t="s">
        <v>180</v>
      </c>
      <c r="K2" s="8" t="s">
        <v>56</v>
      </c>
      <c r="L2" s="8" t="s">
        <v>3</v>
      </c>
      <c r="M2" s="8" t="s">
        <v>4</v>
      </c>
      <c r="N2" s="9" t="s">
        <v>16</v>
      </c>
      <c r="O2" s="8" t="s">
        <v>17</v>
      </c>
      <c r="P2" s="132" t="s">
        <v>9</v>
      </c>
      <c r="Q2" s="133"/>
      <c r="R2" s="133"/>
      <c r="S2" s="134"/>
    </row>
    <row r="3" spans="1:19" ht="14.25" customHeight="1" x14ac:dyDescent="0.2">
      <c r="A3" s="130" t="s">
        <v>55</v>
      </c>
      <c r="B3" s="15" t="s">
        <v>86</v>
      </c>
      <c r="C3" s="15"/>
      <c r="D3" s="10" t="s">
        <v>87</v>
      </c>
      <c r="E3" s="10"/>
      <c r="F3" s="11" t="s">
        <v>59</v>
      </c>
      <c r="G3" s="11" t="s">
        <v>116</v>
      </c>
      <c r="H3" s="11">
        <v>32</v>
      </c>
      <c r="I3" s="12" t="s">
        <v>115</v>
      </c>
      <c r="J3" s="71">
        <v>4</v>
      </c>
      <c r="K3" s="71">
        <v>10</v>
      </c>
      <c r="L3" s="13">
        <f>(100/K3)*J3</f>
        <v>40</v>
      </c>
      <c r="M3" s="13">
        <f>L3*H3</f>
        <v>1280</v>
      </c>
      <c r="N3" s="13"/>
      <c r="O3" s="13">
        <f>M3/5</f>
        <v>256</v>
      </c>
      <c r="P3" s="108" t="s">
        <v>117</v>
      </c>
      <c r="Q3" s="109"/>
      <c r="R3" s="109"/>
      <c r="S3" s="110"/>
    </row>
    <row r="4" spans="1:19" ht="14.25" customHeight="1" x14ac:dyDescent="0.2">
      <c r="A4" s="130"/>
      <c r="B4" s="49" t="s">
        <v>88</v>
      </c>
      <c r="C4" s="15"/>
      <c r="D4" s="14"/>
      <c r="E4" s="10"/>
      <c r="F4" s="15"/>
      <c r="G4" s="15"/>
      <c r="H4" s="11"/>
      <c r="I4" s="12"/>
      <c r="J4" s="71"/>
      <c r="K4" s="71"/>
      <c r="L4" s="13"/>
      <c r="M4" s="13"/>
      <c r="N4" s="13"/>
      <c r="O4" s="13"/>
      <c r="P4" s="108"/>
      <c r="Q4" s="109"/>
      <c r="R4" s="109"/>
      <c r="S4" s="110"/>
    </row>
    <row r="5" spans="1:19" ht="14.25" customHeight="1" x14ac:dyDescent="0.2">
      <c r="A5" s="130"/>
      <c r="B5" s="49"/>
      <c r="C5" s="15"/>
      <c r="D5" s="14"/>
      <c r="E5" s="14"/>
      <c r="F5" s="15"/>
      <c r="G5" s="15"/>
      <c r="H5" s="11"/>
      <c r="I5" s="12"/>
      <c r="J5" s="71"/>
      <c r="K5" s="71"/>
      <c r="L5" s="13"/>
      <c r="M5" s="13"/>
      <c r="N5" s="13"/>
      <c r="O5" s="13"/>
      <c r="P5" s="108"/>
      <c r="Q5" s="109"/>
      <c r="R5" s="109"/>
      <c r="S5" s="110"/>
    </row>
    <row r="6" spans="1:19" ht="14.25" customHeight="1" x14ac:dyDescent="0.2">
      <c r="A6" s="130"/>
      <c r="B6" s="49"/>
      <c r="C6" s="15"/>
      <c r="D6" s="14"/>
      <c r="E6" s="14"/>
      <c r="F6" s="15"/>
      <c r="G6" s="15"/>
      <c r="H6" s="11"/>
      <c r="I6" s="12"/>
      <c r="J6" s="71"/>
      <c r="K6" s="71"/>
      <c r="L6" s="13"/>
      <c r="M6" s="13"/>
      <c r="N6" s="13"/>
      <c r="O6" s="13"/>
      <c r="P6" s="108"/>
      <c r="Q6" s="109"/>
      <c r="R6" s="109"/>
      <c r="S6" s="110"/>
    </row>
    <row r="7" spans="1:19" ht="54" customHeight="1" thickBot="1" x14ac:dyDescent="0.25">
      <c r="A7" s="130"/>
      <c r="B7" s="16"/>
      <c r="C7" s="16"/>
      <c r="D7" s="44"/>
      <c r="E7" s="44"/>
      <c r="F7" s="16"/>
      <c r="G7" s="16"/>
      <c r="H7" s="16"/>
      <c r="I7" s="26"/>
      <c r="J7" s="26"/>
      <c r="K7" s="26"/>
      <c r="L7" s="16"/>
      <c r="M7" s="16"/>
      <c r="N7" s="53"/>
      <c r="O7" s="16"/>
      <c r="P7" s="108"/>
      <c r="Q7" s="109"/>
      <c r="R7" s="109"/>
      <c r="S7" s="110"/>
    </row>
    <row r="8" spans="1:19" ht="15" x14ac:dyDescent="0.2">
      <c r="A8" s="54" t="s">
        <v>7</v>
      </c>
      <c r="B8" s="111" t="s">
        <v>21</v>
      </c>
      <c r="C8" s="111"/>
      <c r="D8" s="111"/>
      <c r="E8" s="55"/>
      <c r="F8" s="112" t="s">
        <v>22</v>
      </c>
      <c r="G8" s="112"/>
      <c r="H8" s="56"/>
      <c r="I8" s="131" t="s">
        <v>8</v>
      </c>
      <c r="J8" s="113"/>
      <c r="K8" s="113"/>
      <c r="L8" s="114"/>
      <c r="M8" s="36" t="s">
        <v>10</v>
      </c>
      <c r="N8" s="115" t="s">
        <v>15</v>
      </c>
      <c r="O8" s="114"/>
      <c r="P8" s="17" t="s">
        <v>11</v>
      </c>
      <c r="Q8" s="17" t="s">
        <v>12</v>
      </c>
      <c r="R8" s="18" t="s">
        <v>19</v>
      </c>
      <c r="S8" s="19"/>
    </row>
    <row r="9" spans="1:19" ht="15" thickBot="1" x14ac:dyDescent="0.25">
      <c r="A9" s="57"/>
      <c r="B9" s="116" t="s">
        <v>57</v>
      </c>
      <c r="C9" s="116"/>
      <c r="D9" s="116"/>
      <c r="E9" s="20"/>
      <c r="F9" s="117" t="s">
        <v>58</v>
      </c>
      <c r="G9" s="117"/>
      <c r="H9" s="58"/>
      <c r="I9" s="144"/>
      <c r="J9" s="118"/>
      <c r="K9" s="118"/>
      <c r="L9" s="119"/>
      <c r="M9" s="20"/>
      <c r="N9" s="120"/>
      <c r="O9" s="121"/>
      <c r="P9" s="5"/>
      <c r="Q9" s="5">
        <f>P9*N9</f>
        <v>0</v>
      </c>
      <c r="R9" s="21">
        <f>SUM(O3:O6)*P9</f>
        <v>0</v>
      </c>
      <c r="S9" s="22"/>
    </row>
    <row r="10" spans="1:19" ht="15" thickBot="1" x14ac:dyDescent="0.25">
      <c r="A10" s="81"/>
      <c r="B10" s="82"/>
      <c r="C10" s="82"/>
      <c r="D10" s="82"/>
      <c r="E10" s="82"/>
      <c r="F10" s="82"/>
      <c r="G10" s="82"/>
      <c r="H10" s="82"/>
      <c r="I10" s="83"/>
      <c r="J10" s="83"/>
      <c r="K10" s="83"/>
      <c r="L10" s="82"/>
      <c r="M10" s="82"/>
      <c r="N10" s="84"/>
      <c r="O10" s="82"/>
      <c r="P10" s="82"/>
      <c r="Q10" s="82"/>
      <c r="R10" s="82"/>
      <c r="S10" s="85"/>
    </row>
    <row r="11" spans="1:19" ht="45.75" thickBot="1" x14ac:dyDescent="0.25">
      <c r="A11" s="7" t="s">
        <v>0</v>
      </c>
      <c r="B11" s="47" t="s">
        <v>1</v>
      </c>
      <c r="C11" s="47" t="s">
        <v>9</v>
      </c>
      <c r="D11" s="8" t="s">
        <v>13</v>
      </c>
      <c r="E11" s="8" t="s">
        <v>29</v>
      </c>
      <c r="F11" s="8" t="s">
        <v>5</v>
      </c>
      <c r="G11" s="8" t="s">
        <v>6</v>
      </c>
      <c r="H11" s="8" t="s">
        <v>2</v>
      </c>
      <c r="I11" s="8" t="s">
        <v>179</v>
      </c>
      <c r="J11" s="8" t="s">
        <v>180</v>
      </c>
      <c r="K11" s="8" t="s">
        <v>56</v>
      </c>
      <c r="L11" s="8" t="s">
        <v>3</v>
      </c>
      <c r="M11" s="8" t="s">
        <v>4</v>
      </c>
      <c r="N11" s="9" t="s">
        <v>16</v>
      </c>
      <c r="O11" s="8" t="s">
        <v>132</v>
      </c>
      <c r="P11" s="132" t="s">
        <v>9</v>
      </c>
      <c r="Q11" s="133"/>
      <c r="R11" s="133"/>
      <c r="S11" s="134"/>
    </row>
    <row r="12" spans="1:19" ht="18.75" customHeight="1" x14ac:dyDescent="0.2">
      <c r="A12" s="103" t="s">
        <v>54</v>
      </c>
      <c r="B12" s="40" t="s">
        <v>89</v>
      </c>
      <c r="C12" s="63"/>
      <c r="D12" s="98">
        <v>42992</v>
      </c>
      <c r="E12" s="10"/>
      <c r="F12" s="25" t="s">
        <v>122</v>
      </c>
      <c r="G12" s="25" t="s">
        <v>123</v>
      </c>
      <c r="H12" s="49">
        <v>8</v>
      </c>
      <c r="I12" s="48" t="s">
        <v>129</v>
      </c>
      <c r="J12" s="48">
        <v>4</v>
      </c>
      <c r="K12" s="48">
        <v>10</v>
      </c>
      <c r="L12" s="13">
        <f>(100/K12)*J12</f>
        <v>40</v>
      </c>
      <c r="M12" s="13">
        <f>L12*H12</f>
        <v>320</v>
      </c>
      <c r="N12" s="50"/>
      <c r="O12" s="50">
        <f>M12</f>
        <v>320</v>
      </c>
      <c r="P12" s="105" t="s">
        <v>128</v>
      </c>
      <c r="Q12" s="106"/>
      <c r="R12" s="106"/>
      <c r="S12" s="107"/>
    </row>
    <row r="13" spans="1:19" ht="14.25" customHeight="1" x14ac:dyDescent="0.2">
      <c r="A13" s="104"/>
      <c r="B13" s="40"/>
      <c r="C13" s="40"/>
      <c r="D13" s="102">
        <v>43034</v>
      </c>
      <c r="E13" s="10"/>
      <c r="F13" s="25" t="s">
        <v>123</v>
      </c>
      <c r="G13" s="25" t="s">
        <v>124</v>
      </c>
      <c r="H13" s="49">
        <v>8</v>
      </c>
      <c r="I13" s="48" t="s">
        <v>129</v>
      </c>
      <c r="J13" s="48">
        <v>4</v>
      </c>
      <c r="K13" s="48">
        <v>10</v>
      </c>
      <c r="L13" s="13">
        <f t="shared" ref="L13:L17" si="0">(100/K13)*J13</f>
        <v>40</v>
      </c>
      <c r="M13" s="13">
        <f t="shared" ref="M13:M17" si="1">L13*H13</f>
        <v>320</v>
      </c>
      <c r="N13" s="50"/>
      <c r="O13" s="50">
        <f t="shared" ref="O13:O17" si="2">M13</f>
        <v>320</v>
      </c>
      <c r="P13" s="108"/>
      <c r="Q13" s="109"/>
      <c r="R13" s="109"/>
      <c r="S13" s="110"/>
    </row>
    <row r="14" spans="1:19" ht="14.25" customHeight="1" x14ac:dyDescent="0.2">
      <c r="A14" s="104"/>
      <c r="B14" s="3"/>
      <c r="C14" s="3"/>
      <c r="D14" s="48" t="s">
        <v>118</v>
      </c>
      <c r="E14" s="10"/>
      <c r="F14" s="25" t="s">
        <v>124</v>
      </c>
      <c r="G14" s="25" t="s">
        <v>125</v>
      </c>
      <c r="H14" s="49">
        <v>8</v>
      </c>
      <c r="I14" s="26" t="s">
        <v>130</v>
      </c>
      <c r="J14" s="48">
        <v>4</v>
      </c>
      <c r="K14" s="48">
        <v>10</v>
      </c>
      <c r="L14" s="13">
        <f t="shared" si="0"/>
        <v>40</v>
      </c>
      <c r="M14" s="13">
        <f t="shared" si="1"/>
        <v>320</v>
      </c>
      <c r="N14" s="50"/>
      <c r="O14" s="50">
        <f t="shared" si="2"/>
        <v>320</v>
      </c>
      <c r="P14" s="108"/>
      <c r="Q14" s="109"/>
      <c r="R14" s="109"/>
      <c r="S14" s="110"/>
    </row>
    <row r="15" spans="1:19" ht="14.25" customHeight="1" x14ac:dyDescent="0.2">
      <c r="A15" s="104"/>
      <c r="B15" s="3"/>
      <c r="C15" s="3"/>
      <c r="D15" s="45" t="s">
        <v>119</v>
      </c>
      <c r="E15" s="10"/>
      <c r="F15" s="25" t="s">
        <v>125</v>
      </c>
      <c r="G15" s="25" t="s">
        <v>116</v>
      </c>
      <c r="H15" s="25">
        <v>8</v>
      </c>
      <c r="I15" s="26" t="s">
        <v>130</v>
      </c>
      <c r="J15" s="48">
        <v>4</v>
      </c>
      <c r="K15" s="48">
        <v>10</v>
      </c>
      <c r="L15" s="13">
        <f t="shared" si="0"/>
        <v>40</v>
      </c>
      <c r="M15" s="13">
        <f t="shared" si="1"/>
        <v>320</v>
      </c>
      <c r="N15" s="50"/>
      <c r="O15" s="50">
        <f t="shared" si="2"/>
        <v>320</v>
      </c>
      <c r="P15" s="108"/>
      <c r="Q15" s="109"/>
      <c r="R15" s="109"/>
      <c r="S15" s="110"/>
    </row>
    <row r="16" spans="1:19" ht="14.25" customHeight="1" x14ac:dyDescent="0.2">
      <c r="A16" s="104"/>
      <c r="B16" s="3"/>
      <c r="C16" s="3"/>
      <c r="D16" s="48" t="s">
        <v>120</v>
      </c>
      <c r="E16" s="10"/>
      <c r="F16" s="25" t="s">
        <v>116</v>
      </c>
      <c r="G16" s="25" t="s">
        <v>126</v>
      </c>
      <c r="H16" s="25">
        <v>8</v>
      </c>
      <c r="I16" s="26" t="s">
        <v>131</v>
      </c>
      <c r="J16" s="48">
        <v>4</v>
      </c>
      <c r="K16" s="48">
        <v>10</v>
      </c>
      <c r="L16" s="13">
        <f t="shared" si="0"/>
        <v>40</v>
      </c>
      <c r="M16" s="13">
        <f t="shared" si="1"/>
        <v>320</v>
      </c>
      <c r="N16" s="50"/>
      <c r="O16" s="50">
        <f t="shared" si="2"/>
        <v>320</v>
      </c>
      <c r="P16" s="108"/>
      <c r="Q16" s="109"/>
      <c r="R16" s="109"/>
      <c r="S16" s="110"/>
    </row>
    <row r="17" spans="1:19" ht="14.25" customHeight="1" thickBot="1" x14ac:dyDescent="0.25">
      <c r="A17" s="104"/>
      <c r="B17" s="40"/>
      <c r="C17" s="40"/>
      <c r="D17" s="88" t="s">
        <v>121</v>
      </c>
      <c r="E17" s="10"/>
      <c r="F17" s="25" t="s">
        <v>126</v>
      </c>
      <c r="G17" s="25" t="s">
        <v>127</v>
      </c>
      <c r="H17" s="25">
        <v>8</v>
      </c>
      <c r="I17" s="26" t="s">
        <v>131</v>
      </c>
      <c r="J17" s="48">
        <v>4</v>
      </c>
      <c r="K17" s="48">
        <v>10</v>
      </c>
      <c r="L17" s="13">
        <f t="shared" si="0"/>
        <v>40</v>
      </c>
      <c r="M17" s="13">
        <f t="shared" si="1"/>
        <v>320</v>
      </c>
      <c r="N17" s="50"/>
      <c r="O17" s="50">
        <f t="shared" si="2"/>
        <v>320</v>
      </c>
      <c r="P17" s="108"/>
      <c r="Q17" s="109"/>
      <c r="R17" s="109"/>
      <c r="S17" s="110"/>
    </row>
    <row r="18" spans="1:19" ht="15" customHeight="1" x14ac:dyDescent="0.2">
      <c r="A18" s="27" t="s">
        <v>7</v>
      </c>
      <c r="B18" s="146" t="s">
        <v>21</v>
      </c>
      <c r="C18" s="146"/>
      <c r="D18" s="111"/>
      <c r="E18" s="55"/>
      <c r="F18" s="112" t="s">
        <v>22</v>
      </c>
      <c r="G18" s="112"/>
      <c r="H18" s="17"/>
      <c r="I18" s="112" t="s">
        <v>8</v>
      </c>
      <c r="J18" s="112"/>
      <c r="K18" s="112"/>
      <c r="L18" s="112"/>
      <c r="M18" s="36" t="s">
        <v>10</v>
      </c>
      <c r="N18" s="115" t="s">
        <v>15</v>
      </c>
      <c r="O18" s="114"/>
      <c r="P18" s="17" t="s">
        <v>11</v>
      </c>
      <c r="Q18" s="17" t="s">
        <v>12</v>
      </c>
      <c r="R18" s="18" t="s">
        <v>19</v>
      </c>
      <c r="S18" s="19"/>
    </row>
    <row r="19" spans="1:19" ht="15" thickBot="1" x14ac:dyDescent="0.25">
      <c r="A19" s="28"/>
      <c r="B19" s="116" t="s">
        <v>61</v>
      </c>
      <c r="C19" s="116"/>
      <c r="D19" s="116"/>
      <c r="E19" s="20"/>
      <c r="F19" s="117" t="s">
        <v>23</v>
      </c>
      <c r="G19" s="117"/>
      <c r="H19" s="52"/>
      <c r="I19" s="145"/>
      <c r="J19" s="145"/>
      <c r="K19" s="145"/>
      <c r="L19" s="117"/>
      <c r="M19" s="20"/>
      <c r="N19" s="120"/>
      <c r="O19" s="121"/>
      <c r="P19" s="5"/>
      <c r="Q19" s="5">
        <f>P19*N19</f>
        <v>0</v>
      </c>
      <c r="R19" s="21">
        <f>Q19*5</f>
        <v>0</v>
      </c>
      <c r="S19" s="22"/>
    </row>
    <row r="20" spans="1:19" ht="15" thickBot="1" x14ac:dyDescent="0.25">
      <c r="A20" s="81"/>
      <c r="B20" s="82"/>
      <c r="C20" s="82"/>
      <c r="D20" s="82"/>
      <c r="E20" s="82"/>
      <c r="F20" s="82"/>
      <c r="G20" s="82"/>
      <c r="H20" s="82"/>
      <c r="I20" s="83"/>
      <c r="J20" s="83"/>
      <c r="K20" s="83"/>
      <c r="L20" s="82"/>
      <c r="M20" s="82"/>
      <c r="N20" s="84"/>
      <c r="O20" s="82"/>
      <c r="P20" s="82"/>
      <c r="Q20" s="82"/>
      <c r="R20" s="82"/>
      <c r="S20" s="85"/>
    </row>
    <row r="21" spans="1:19" ht="45.75" thickBot="1" x14ac:dyDescent="0.25">
      <c r="A21" s="7" t="s">
        <v>0</v>
      </c>
      <c r="B21" s="47" t="s">
        <v>1</v>
      </c>
      <c r="C21" s="8" t="s">
        <v>9</v>
      </c>
      <c r="D21" s="47" t="s">
        <v>13</v>
      </c>
      <c r="E21" s="8" t="s">
        <v>29</v>
      </c>
      <c r="F21" s="8" t="s">
        <v>5</v>
      </c>
      <c r="G21" s="8" t="s">
        <v>6</v>
      </c>
      <c r="H21" s="8" t="s">
        <v>2</v>
      </c>
      <c r="I21" s="8" t="s">
        <v>179</v>
      </c>
      <c r="J21" s="8" t="s">
        <v>180</v>
      </c>
      <c r="K21" s="8" t="s">
        <v>56</v>
      </c>
      <c r="L21" s="8" t="s">
        <v>3</v>
      </c>
      <c r="M21" s="8" t="s">
        <v>4</v>
      </c>
      <c r="N21" s="9" t="s">
        <v>16</v>
      </c>
      <c r="O21" s="8" t="s">
        <v>134</v>
      </c>
      <c r="P21" s="132" t="s">
        <v>9</v>
      </c>
      <c r="Q21" s="133"/>
      <c r="R21" s="133"/>
      <c r="S21" s="134"/>
    </row>
    <row r="22" spans="1:19" x14ac:dyDescent="0.2">
      <c r="A22" s="103" t="s">
        <v>40</v>
      </c>
      <c r="B22" s="40"/>
      <c r="C22" s="40"/>
      <c r="D22" s="4" t="s">
        <v>91</v>
      </c>
      <c r="E22" s="24"/>
      <c r="F22" s="25"/>
      <c r="G22" s="25"/>
      <c r="H22" s="49">
        <v>16</v>
      </c>
      <c r="I22" s="48" t="s">
        <v>135</v>
      </c>
      <c r="J22" s="48">
        <v>4</v>
      </c>
      <c r="K22" s="48">
        <v>20</v>
      </c>
      <c r="L22" s="13">
        <f>(100/K22)*J22</f>
        <v>20</v>
      </c>
      <c r="M22" s="13">
        <f>L22*H22</f>
        <v>320</v>
      </c>
      <c r="N22" s="50"/>
      <c r="O22" s="50">
        <f>M22</f>
        <v>320</v>
      </c>
      <c r="P22" s="105" t="s">
        <v>133</v>
      </c>
      <c r="Q22" s="106"/>
      <c r="R22" s="106"/>
      <c r="S22" s="107"/>
    </row>
    <row r="23" spans="1:19" ht="14.25" customHeight="1" x14ac:dyDescent="0.2">
      <c r="A23" s="104"/>
      <c r="B23" s="40"/>
      <c r="C23" s="40"/>
      <c r="D23" s="38" t="s">
        <v>90</v>
      </c>
      <c r="E23" s="24"/>
      <c r="F23" s="25"/>
      <c r="G23" s="25"/>
      <c r="H23" s="49"/>
      <c r="I23" s="48"/>
      <c r="J23" s="48"/>
      <c r="K23" s="48"/>
      <c r="L23" s="29"/>
      <c r="M23" s="50"/>
      <c r="N23" s="50"/>
      <c r="O23" s="50"/>
      <c r="P23" s="108"/>
      <c r="Q23" s="109"/>
      <c r="R23" s="109"/>
      <c r="S23" s="110"/>
    </row>
    <row r="24" spans="1:19" ht="14.25" customHeight="1" thickBot="1" x14ac:dyDescent="0.25">
      <c r="A24" s="104"/>
      <c r="B24" s="59"/>
      <c r="C24" s="60"/>
      <c r="E24" s="38"/>
      <c r="F24" s="25"/>
      <c r="G24" s="25"/>
      <c r="H24" s="25"/>
      <c r="I24" s="39"/>
      <c r="J24" s="39"/>
      <c r="K24" s="39"/>
      <c r="L24" s="30"/>
      <c r="M24" s="30"/>
      <c r="N24" s="30"/>
      <c r="O24" s="30"/>
      <c r="P24" s="108"/>
      <c r="Q24" s="109"/>
      <c r="R24" s="109"/>
      <c r="S24" s="110"/>
    </row>
    <row r="25" spans="1:19" ht="14.25" customHeight="1" x14ac:dyDescent="0.2">
      <c r="A25" s="27" t="s">
        <v>7</v>
      </c>
      <c r="B25" s="111" t="s">
        <v>21</v>
      </c>
      <c r="C25" s="111"/>
      <c r="D25" s="111"/>
      <c r="E25" s="55"/>
      <c r="F25" s="112" t="s">
        <v>22</v>
      </c>
      <c r="G25" s="112"/>
      <c r="H25" s="17"/>
      <c r="I25" s="113" t="s">
        <v>8</v>
      </c>
      <c r="J25" s="113"/>
      <c r="K25" s="113"/>
      <c r="L25" s="114"/>
      <c r="M25" s="36" t="s">
        <v>10</v>
      </c>
      <c r="N25" s="115" t="s">
        <v>15</v>
      </c>
      <c r="O25" s="114"/>
      <c r="P25" s="17" t="s">
        <v>11</v>
      </c>
      <c r="Q25" s="17" t="s">
        <v>12</v>
      </c>
      <c r="R25" s="18" t="s">
        <v>19</v>
      </c>
      <c r="S25" s="19"/>
    </row>
    <row r="26" spans="1:19" ht="15" customHeight="1" thickBot="1" x14ac:dyDescent="0.25">
      <c r="A26" s="28"/>
      <c r="B26" s="116" t="s">
        <v>62</v>
      </c>
      <c r="C26" s="116"/>
      <c r="D26" s="116"/>
      <c r="E26" s="20"/>
      <c r="F26" s="117" t="s">
        <v>73</v>
      </c>
      <c r="G26" s="117"/>
      <c r="H26" s="52"/>
      <c r="I26" s="118"/>
      <c r="J26" s="118"/>
      <c r="K26" s="118"/>
      <c r="L26" s="119"/>
      <c r="M26" s="20">
        <f>SUM(H22:H24)</f>
        <v>16</v>
      </c>
      <c r="N26" s="120">
        <f>O22</f>
        <v>320</v>
      </c>
      <c r="O26" s="121"/>
      <c r="P26" s="5"/>
      <c r="Q26" s="5">
        <f>P26*N26</f>
        <v>0</v>
      </c>
      <c r="R26" s="21">
        <f>Q26*5</f>
        <v>0</v>
      </c>
      <c r="S26" s="22"/>
    </row>
    <row r="27" spans="1:19" ht="15" thickBot="1" x14ac:dyDescent="0.25">
      <c r="A27" s="81"/>
      <c r="B27" s="82"/>
      <c r="C27" s="82"/>
      <c r="D27" s="82"/>
      <c r="E27" s="82"/>
      <c r="F27" s="82"/>
      <c r="G27" s="82"/>
      <c r="H27" s="82"/>
      <c r="I27" s="83"/>
      <c r="J27" s="83"/>
      <c r="K27" s="83"/>
      <c r="L27" s="82"/>
      <c r="M27" s="82"/>
      <c r="N27" s="84"/>
      <c r="O27" s="82"/>
      <c r="P27" s="82"/>
      <c r="Q27" s="82"/>
      <c r="R27" s="82"/>
      <c r="S27" s="85"/>
    </row>
    <row r="28" spans="1:19" ht="45.75" thickBot="1" x14ac:dyDescent="0.25">
      <c r="A28" s="7" t="s">
        <v>0</v>
      </c>
      <c r="B28" s="8" t="s">
        <v>1</v>
      </c>
      <c r="C28" s="8" t="s">
        <v>9</v>
      </c>
      <c r="D28" s="8" t="s">
        <v>13</v>
      </c>
      <c r="E28" s="8" t="s">
        <v>29</v>
      </c>
      <c r="F28" s="8" t="s">
        <v>5</v>
      </c>
      <c r="G28" s="8" t="s">
        <v>6</v>
      </c>
      <c r="H28" s="8" t="s">
        <v>2</v>
      </c>
      <c r="I28" s="8" t="s">
        <v>179</v>
      </c>
      <c r="J28" s="8" t="s">
        <v>180</v>
      </c>
      <c r="K28" s="8" t="s">
        <v>56</v>
      </c>
      <c r="L28" s="8" t="s">
        <v>3</v>
      </c>
      <c r="M28" s="8" t="s">
        <v>4</v>
      </c>
      <c r="N28" s="9" t="s">
        <v>16</v>
      </c>
      <c r="O28" s="8" t="s">
        <v>140</v>
      </c>
      <c r="P28" s="132" t="s">
        <v>9</v>
      </c>
      <c r="Q28" s="133"/>
      <c r="R28" s="133"/>
      <c r="S28" s="134"/>
    </row>
    <row r="29" spans="1:19" x14ac:dyDescent="0.2">
      <c r="A29" s="103" t="s">
        <v>41</v>
      </c>
      <c r="B29" s="1" t="s">
        <v>92</v>
      </c>
      <c r="C29" s="23" t="s">
        <v>181</v>
      </c>
      <c r="D29" s="97">
        <v>43006</v>
      </c>
      <c r="E29" s="24"/>
      <c r="F29" s="25" t="s">
        <v>70</v>
      </c>
      <c r="G29" s="25" t="s">
        <v>70</v>
      </c>
      <c r="H29" s="49">
        <v>32</v>
      </c>
      <c r="I29" s="48"/>
      <c r="J29" s="48">
        <v>1</v>
      </c>
      <c r="K29" s="48">
        <v>40</v>
      </c>
      <c r="L29" s="29">
        <f>(100/K29)*J29</f>
        <v>2.5</v>
      </c>
      <c r="M29" s="13">
        <f>L29*H29</f>
        <v>80</v>
      </c>
      <c r="N29" s="50"/>
      <c r="O29" s="50">
        <f>M29</f>
        <v>80</v>
      </c>
      <c r="P29" s="105" t="s">
        <v>144</v>
      </c>
      <c r="Q29" s="106"/>
      <c r="R29" s="106"/>
      <c r="S29" s="107"/>
    </row>
    <row r="30" spans="1:19" x14ac:dyDescent="0.2">
      <c r="A30" s="104"/>
      <c r="B30" s="40"/>
      <c r="C30" s="40" t="s">
        <v>182</v>
      </c>
      <c r="D30" s="97">
        <v>43031</v>
      </c>
      <c r="E30" s="24"/>
      <c r="F30" s="25" t="s">
        <v>66</v>
      </c>
      <c r="G30" s="25" t="s">
        <v>66</v>
      </c>
      <c r="H30" s="49">
        <v>16</v>
      </c>
      <c r="I30" s="48"/>
      <c r="J30" s="48">
        <v>2</v>
      </c>
      <c r="K30" s="48">
        <v>40</v>
      </c>
      <c r="L30" s="29">
        <f t="shared" ref="L30:L33" si="3">(100/K30)*J30</f>
        <v>5</v>
      </c>
      <c r="M30" s="13">
        <f t="shared" ref="M30:M33" si="4">L30*H30</f>
        <v>80</v>
      </c>
      <c r="N30" s="50"/>
      <c r="O30" s="50">
        <f t="shared" ref="O30:O33" si="5">M30</f>
        <v>80</v>
      </c>
      <c r="P30" s="108"/>
      <c r="Q30" s="109"/>
      <c r="R30" s="109"/>
      <c r="S30" s="110"/>
    </row>
    <row r="31" spans="1:19" x14ac:dyDescent="0.2">
      <c r="A31" s="104"/>
      <c r="B31" s="59"/>
      <c r="C31" s="59"/>
      <c r="D31" s="24" t="s">
        <v>118</v>
      </c>
      <c r="E31" s="24"/>
      <c r="F31" s="25" t="s">
        <v>116</v>
      </c>
      <c r="G31" s="25" t="s">
        <v>116</v>
      </c>
      <c r="H31" s="49">
        <v>16</v>
      </c>
      <c r="I31" s="39"/>
      <c r="J31" s="48">
        <v>2</v>
      </c>
      <c r="K31" s="48">
        <v>40</v>
      </c>
      <c r="L31" s="29">
        <f t="shared" si="3"/>
        <v>5</v>
      </c>
      <c r="M31" s="13">
        <f t="shared" si="4"/>
        <v>80</v>
      </c>
      <c r="N31" s="50"/>
      <c r="O31" s="50">
        <f t="shared" si="5"/>
        <v>80</v>
      </c>
      <c r="P31" s="108"/>
      <c r="Q31" s="109"/>
      <c r="R31" s="109"/>
      <c r="S31" s="110"/>
    </row>
    <row r="32" spans="1:19" x14ac:dyDescent="0.2">
      <c r="A32" s="104"/>
      <c r="B32" s="59"/>
      <c r="C32" s="59"/>
      <c r="D32" s="24" t="s">
        <v>141</v>
      </c>
      <c r="E32" s="24"/>
      <c r="F32" s="25" t="s">
        <v>126</v>
      </c>
      <c r="G32" s="25" t="s">
        <v>126</v>
      </c>
      <c r="H32" s="49">
        <v>16</v>
      </c>
      <c r="I32" s="39"/>
      <c r="J32" s="48">
        <v>2</v>
      </c>
      <c r="K32" s="48">
        <v>40</v>
      </c>
      <c r="L32" s="29">
        <f t="shared" si="3"/>
        <v>5</v>
      </c>
      <c r="M32" s="13">
        <f t="shared" si="4"/>
        <v>80</v>
      </c>
      <c r="N32" s="50"/>
      <c r="O32" s="50">
        <f t="shared" si="5"/>
        <v>80</v>
      </c>
      <c r="P32" s="108"/>
      <c r="Q32" s="109"/>
      <c r="R32" s="109"/>
      <c r="S32" s="110"/>
    </row>
    <row r="33" spans="1:19" ht="15" thickBot="1" x14ac:dyDescent="0.25">
      <c r="A33" s="104"/>
      <c r="B33" s="59"/>
      <c r="C33" s="59"/>
      <c r="D33" s="24" t="s">
        <v>139</v>
      </c>
      <c r="E33" s="24"/>
      <c r="F33" s="25" t="s">
        <v>127</v>
      </c>
      <c r="G33" s="25" t="s">
        <v>127</v>
      </c>
      <c r="H33" s="49">
        <v>16</v>
      </c>
      <c r="I33" s="39"/>
      <c r="J33" s="48">
        <v>2</v>
      </c>
      <c r="K33" s="48">
        <v>40</v>
      </c>
      <c r="L33" s="29">
        <f t="shared" si="3"/>
        <v>5</v>
      </c>
      <c r="M33" s="13">
        <f t="shared" si="4"/>
        <v>80</v>
      </c>
      <c r="N33" s="50"/>
      <c r="O33" s="50">
        <f t="shared" si="5"/>
        <v>80</v>
      </c>
      <c r="P33" s="108"/>
      <c r="Q33" s="109"/>
      <c r="R33" s="109"/>
      <c r="S33" s="110"/>
    </row>
    <row r="34" spans="1:19" ht="15" x14ac:dyDescent="0.2">
      <c r="A34" s="27" t="s">
        <v>7</v>
      </c>
      <c r="B34" s="140" t="s">
        <v>21</v>
      </c>
      <c r="C34" s="141"/>
      <c r="D34" s="140" t="s">
        <v>67</v>
      </c>
      <c r="E34" s="141"/>
      <c r="F34" s="112" t="s">
        <v>22</v>
      </c>
      <c r="G34" s="112"/>
      <c r="H34" s="17"/>
      <c r="I34" s="113" t="s">
        <v>8</v>
      </c>
      <c r="J34" s="113"/>
      <c r="K34" s="113"/>
      <c r="L34" s="114"/>
      <c r="M34" s="36" t="s">
        <v>10</v>
      </c>
      <c r="N34" s="115" t="s">
        <v>15</v>
      </c>
      <c r="O34" s="114"/>
      <c r="P34" s="17" t="s">
        <v>11</v>
      </c>
      <c r="Q34" s="17" t="s">
        <v>12</v>
      </c>
      <c r="R34" s="18" t="s">
        <v>19</v>
      </c>
      <c r="S34" s="19"/>
    </row>
    <row r="35" spans="1:19" ht="15" thickBot="1" x14ac:dyDescent="0.25">
      <c r="A35" s="28"/>
      <c r="B35" s="142" t="s">
        <v>68</v>
      </c>
      <c r="C35" s="143"/>
      <c r="D35" s="142" t="s">
        <v>136</v>
      </c>
      <c r="E35" s="143"/>
      <c r="F35" s="117" t="s">
        <v>60</v>
      </c>
      <c r="G35" s="117"/>
      <c r="H35" s="52"/>
      <c r="I35" s="118"/>
      <c r="J35" s="118"/>
      <c r="K35" s="118"/>
      <c r="L35" s="119"/>
      <c r="M35" s="86">
        <f>SUM(H31:H33)</f>
        <v>48</v>
      </c>
      <c r="N35" s="120"/>
      <c r="O35" s="121"/>
      <c r="P35" s="5"/>
      <c r="Q35" s="5">
        <f>P35*N35</f>
        <v>0</v>
      </c>
      <c r="R35" s="5">
        <f>Q35*6</f>
        <v>0</v>
      </c>
      <c r="S35" s="22"/>
    </row>
    <row r="36" spans="1:19" ht="15" thickBot="1" x14ac:dyDescent="0.25">
      <c r="A36" s="81"/>
      <c r="B36" s="82"/>
      <c r="C36" s="82"/>
      <c r="D36" s="82"/>
      <c r="E36" s="82"/>
      <c r="F36" s="82"/>
      <c r="G36" s="82"/>
      <c r="H36" s="82"/>
      <c r="I36" s="83"/>
      <c r="J36" s="83"/>
      <c r="K36" s="83"/>
      <c r="L36" s="82"/>
      <c r="M36" s="82"/>
      <c r="N36" s="84"/>
      <c r="O36" s="82"/>
      <c r="P36" s="82"/>
      <c r="Q36" s="82"/>
      <c r="R36" s="82"/>
      <c r="S36" s="85"/>
    </row>
    <row r="37" spans="1:19" ht="45.75" thickBot="1" x14ac:dyDescent="0.25">
      <c r="A37" s="7" t="s">
        <v>0</v>
      </c>
      <c r="B37" s="8" t="s">
        <v>1</v>
      </c>
      <c r="C37" s="8" t="s">
        <v>9</v>
      </c>
      <c r="D37" s="8" t="s">
        <v>13</v>
      </c>
      <c r="E37" s="8" t="s">
        <v>29</v>
      </c>
      <c r="F37" s="8" t="s">
        <v>5</v>
      </c>
      <c r="G37" s="8" t="s">
        <v>6</v>
      </c>
      <c r="H37" s="8" t="s">
        <v>2</v>
      </c>
      <c r="I37" s="8" t="s">
        <v>179</v>
      </c>
      <c r="J37" s="8" t="s">
        <v>180</v>
      </c>
      <c r="K37" s="8" t="s">
        <v>56</v>
      </c>
      <c r="L37" s="8" t="s">
        <v>3</v>
      </c>
      <c r="M37" s="8" t="s">
        <v>4</v>
      </c>
      <c r="N37" s="9" t="s">
        <v>16</v>
      </c>
      <c r="O37" s="8" t="s">
        <v>140</v>
      </c>
      <c r="P37" s="132" t="s">
        <v>9</v>
      </c>
      <c r="Q37" s="133"/>
      <c r="R37" s="133"/>
      <c r="S37" s="134"/>
    </row>
    <row r="38" spans="1:19" x14ac:dyDescent="0.2">
      <c r="A38" s="103" t="s">
        <v>42</v>
      </c>
      <c r="B38" s="23" t="s">
        <v>93</v>
      </c>
      <c r="C38" s="23" t="s">
        <v>96</v>
      </c>
      <c r="D38" s="99">
        <v>43006</v>
      </c>
      <c r="E38" s="31"/>
      <c r="F38" s="25" t="s">
        <v>70</v>
      </c>
      <c r="G38" s="25" t="s">
        <v>116</v>
      </c>
      <c r="H38" s="49">
        <v>16</v>
      </c>
      <c r="I38" s="48"/>
      <c r="J38" s="48">
        <v>2</v>
      </c>
      <c r="K38" s="48">
        <v>40</v>
      </c>
      <c r="L38" s="29">
        <f>(100/K38)*J38</f>
        <v>5</v>
      </c>
      <c r="M38" s="13">
        <f>L38*H38</f>
        <v>80</v>
      </c>
      <c r="N38" s="50"/>
      <c r="O38" s="50">
        <f>M38</f>
        <v>80</v>
      </c>
      <c r="P38" s="105" t="s">
        <v>145</v>
      </c>
      <c r="Q38" s="106"/>
      <c r="R38" s="106"/>
      <c r="S38" s="107"/>
    </row>
    <row r="39" spans="1:19" x14ac:dyDescent="0.2">
      <c r="A39" s="104"/>
      <c r="B39" s="23" t="s">
        <v>94</v>
      </c>
      <c r="C39" s="23" t="s">
        <v>95</v>
      </c>
      <c r="D39" s="99">
        <v>43031</v>
      </c>
      <c r="E39" s="31"/>
      <c r="F39" s="25" t="s">
        <v>66</v>
      </c>
      <c r="G39" s="25" t="s">
        <v>116</v>
      </c>
      <c r="H39" s="49">
        <v>16</v>
      </c>
      <c r="I39" s="48"/>
      <c r="J39" s="48">
        <v>2</v>
      </c>
      <c r="K39" s="48">
        <v>40</v>
      </c>
      <c r="L39" s="29">
        <f t="shared" ref="L39:L41" si="6">(100/K39)*J39</f>
        <v>5</v>
      </c>
      <c r="M39" s="13">
        <f t="shared" ref="M39:M41" si="7">L39*H39</f>
        <v>80</v>
      </c>
      <c r="N39" s="50"/>
      <c r="O39" s="50">
        <f t="shared" ref="O39:O41" si="8">M39</f>
        <v>80</v>
      </c>
      <c r="P39" s="108"/>
      <c r="Q39" s="109"/>
      <c r="R39" s="109"/>
      <c r="S39" s="110"/>
    </row>
    <row r="40" spans="1:19" x14ac:dyDescent="0.2">
      <c r="A40" s="104"/>
      <c r="B40" s="23" t="s">
        <v>94</v>
      </c>
      <c r="C40" s="23" t="s">
        <v>95</v>
      </c>
      <c r="D40" s="31" t="s">
        <v>142</v>
      </c>
      <c r="E40" s="31"/>
      <c r="F40" s="25" t="s">
        <v>116</v>
      </c>
      <c r="G40" s="25" t="s">
        <v>126</v>
      </c>
      <c r="H40" s="49">
        <v>16</v>
      </c>
      <c r="I40" s="48"/>
      <c r="J40" s="48">
        <v>2</v>
      </c>
      <c r="K40" s="48">
        <v>40</v>
      </c>
      <c r="L40" s="29">
        <f t="shared" si="6"/>
        <v>5</v>
      </c>
      <c r="M40" s="13">
        <f t="shared" si="7"/>
        <v>80</v>
      </c>
      <c r="N40" s="50"/>
      <c r="O40" s="50">
        <f t="shared" si="8"/>
        <v>80</v>
      </c>
      <c r="P40" s="108"/>
      <c r="Q40" s="109"/>
      <c r="R40" s="109"/>
      <c r="S40" s="110"/>
    </row>
    <row r="41" spans="1:19" ht="15" thickBot="1" x14ac:dyDescent="0.25">
      <c r="A41" s="104"/>
      <c r="B41" s="23" t="s">
        <v>94</v>
      </c>
      <c r="C41" s="23" t="s">
        <v>95</v>
      </c>
      <c r="D41" s="43" t="s">
        <v>143</v>
      </c>
      <c r="E41" s="51"/>
      <c r="F41" s="25" t="s">
        <v>126</v>
      </c>
      <c r="G41" s="25" t="s">
        <v>127</v>
      </c>
      <c r="H41" s="49">
        <v>16</v>
      </c>
      <c r="I41" s="48"/>
      <c r="J41" s="48">
        <v>2</v>
      </c>
      <c r="K41" s="48">
        <v>40</v>
      </c>
      <c r="L41" s="29">
        <f t="shared" si="6"/>
        <v>5</v>
      </c>
      <c r="M41" s="13">
        <f t="shared" si="7"/>
        <v>80</v>
      </c>
      <c r="N41" s="50"/>
      <c r="O41" s="50">
        <f t="shared" si="8"/>
        <v>80</v>
      </c>
      <c r="P41" s="108"/>
      <c r="Q41" s="109"/>
      <c r="R41" s="109"/>
      <c r="S41" s="110"/>
    </row>
    <row r="42" spans="1:19" ht="15" x14ac:dyDescent="0.2">
      <c r="A42" s="27" t="s">
        <v>7</v>
      </c>
      <c r="B42" s="140" t="s">
        <v>21</v>
      </c>
      <c r="C42" s="141"/>
      <c r="D42" s="140" t="s">
        <v>67</v>
      </c>
      <c r="E42" s="141"/>
      <c r="F42" s="112" t="s">
        <v>22</v>
      </c>
      <c r="G42" s="112"/>
      <c r="H42" s="17"/>
      <c r="I42" s="113" t="s">
        <v>8</v>
      </c>
      <c r="J42" s="113"/>
      <c r="K42" s="113"/>
      <c r="L42" s="114"/>
      <c r="M42" s="36" t="s">
        <v>10</v>
      </c>
      <c r="N42" s="115" t="s">
        <v>15</v>
      </c>
      <c r="O42" s="114"/>
      <c r="P42" s="17" t="s">
        <v>18</v>
      </c>
      <c r="Q42" s="17" t="s">
        <v>12</v>
      </c>
      <c r="R42" s="18" t="s">
        <v>19</v>
      </c>
      <c r="S42" s="19"/>
    </row>
    <row r="43" spans="1:19" ht="15" thickBot="1" x14ac:dyDescent="0.25">
      <c r="A43" s="28"/>
      <c r="B43" s="142" t="s">
        <v>68</v>
      </c>
      <c r="C43" s="143"/>
      <c r="D43" s="142" t="s">
        <v>137</v>
      </c>
      <c r="E43" s="143"/>
      <c r="F43" s="117" t="s">
        <v>60</v>
      </c>
      <c r="G43" s="117"/>
      <c r="H43" s="52"/>
      <c r="I43" s="118"/>
      <c r="J43" s="118"/>
      <c r="K43" s="118"/>
      <c r="L43" s="119"/>
      <c r="M43" s="20">
        <f>SUM(H38:H41)</f>
        <v>64</v>
      </c>
      <c r="N43" s="120">
        <f>O38</f>
        <v>80</v>
      </c>
      <c r="O43" s="121"/>
      <c r="P43" s="5">
        <v>5</v>
      </c>
      <c r="Q43" s="5">
        <f>P43*N43</f>
        <v>400</v>
      </c>
      <c r="R43" s="5">
        <f>Q43*6</f>
        <v>2400</v>
      </c>
      <c r="S43" s="22"/>
    </row>
    <row r="44" spans="1:19" ht="15" thickBot="1" x14ac:dyDescent="0.25">
      <c r="A44" s="81"/>
      <c r="B44" s="82"/>
      <c r="C44" s="82"/>
      <c r="D44" s="82"/>
      <c r="E44" s="82"/>
      <c r="F44" s="82"/>
      <c r="G44" s="82"/>
      <c r="H44" s="82"/>
      <c r="I44" s="83"/>
      <c r="J44" s="83"/>
      <c r="K44" s="83"/>
      <c r="L44" s="82"/>
      <c r="M44" s="82"/>
      <c r="N44" s="84"/>
      <c r="O44" s="82"/>
      <c r="P44" s="82"/>
      <c r="Q44" s="82"/>
      <c r="R44" s="82"/>
      <c r="S44" s="85"/>
    </row>
    <row r="45" spans="1:19" ht="45.75" thickBot="1" x14ac:dyDescent="0.25">
      <c r="A45" s="7" t="s">
        <v>0</v>
      </c>
      <c r="B45" s="47" t="s">
        <v>1</v>
      </c>
      <c r="C45" s="47" t="s">
        <v>9</v>
      </c>
      <c r="D45" s="8" t="s">
        <v>13</v>
      </c>
      <c r="E45" s="47" t="s">
        <v>29</v>
      </c>
      <c r="F45" s="47" t="s">
        <v>5</v>
      </c>
      <c r="G45" s="8" t="s">
        <v>6</v>
      </c>
      <c r="H45" s="8" t="s">
        <v>2</v>
      </c>
      <c r="I45" s="8" t="s">
        <v>179</v>
      </c>
      <c r="J45" s="8" t="s">
        <v>180</v>
      </c>
      <c r="K45" s="8" t="s">
        <v>56</v>
      </c>
      <c r="L45" s="8" t="s">
        <v>3</v>
      </c>
      <c r="M45" s="8" t="s">
        <v>4</v>
      </c>
      <c r="N45" s="9" t="s">
        <v>25</v>
      </c>
      <c r="O45" s="8" t="s">
        <v>140</v>
      </c>
      <c r="P45" s="147" t="s">
        <v>9</v>
      </c>
      <c r="Q45" s="148"/>
      <c r="R45" s="148"/>
      <c r="S45" s="149"/>
    </row>
    <row r="46" spans="1:19" ht="15" x14ac:dyDescent="0.2">
      <c r="A46" s="103" t="s">
        <v>43</v>
      </c>
      <c r="B46" s="40"/>
      <c r="C46" s="61"/>
      <c r="D46" s="97">
        <v>42992</v>
      </c>
      <c r="E46" s="4"/>
      <c r="F46" s="25" t="s">
        <v>70</v>
      </c>
      <c r="G46" s="25" t="s">
        <v>66</v>
      </c>
      <c r="H46" s="25">
        <v>8</v>
      </c>
      <c r="I46" s="26"/>
      <c r="J46" s="26">
        <v>2</v>
      </c>
      <c r="K46" s="26">
        <v>30</v>
      </c>
      <c r="L46" s="29">
        <f>(100/K46)*J46</f>
        <v>6.666666666666667</v>
      </c>
      <c r="M46" s="13">
        <f>L46*H46</f>
        <v>53.333333333333336</v>
      </c>
      <c r="N46" s="30"/>
      <c r="O46" s="32"/>
      <c r="P46" s="109" t="s">
        <v>97</v>
      </c>
      <c r="Q46" s="128"/>
      <c r="R46" s="128"/>
      <c r="S46" s="129"/>
    </row>
    <row r="47" spans="1:19" ht="14.25" customHeight="1" x14ac:dyDescent="0.2">
      <c r="A47" s="104"/>
      <c r="B47" s="3"/>
      <c r="C47" s="3"/>
      <c r="D47" s="4" t="s">
        <v>138</v>
      </c>
      <c r="E47" s="14"/>
      <c r="F47" s="25" t="s">
        <v>66</v>
      </c>
      <c r="G47" s="25" t="s">
        <v>116</v>
      </c>
      <c r="H47" s="25">
        <v>8</v>
      </c>
      <c r="I47" s="48"/>
      <c r="J47" s="26">
        <v>2</v>
      </c>
      <c r="K47" s="26">
        <v>30</v>
      </c>
      <c r="L47" s="29">
        <f t="shared" ref="L47:L50" si="9">(100/K47)*J47</f>
        <v>6.666666666666667</v>
      </c>
      <c r="M47" s="13">
        <f t="shared" ref="M47:M50" si="10">L47*H47</f>
        <v>53.333333333333336</v>
      </c>
      <c r="N47" s="30"/>
      <c r="O47" s="41"/>
      <c r="P47" s="128"/>
      <c r="Q47" s="128"/>
      <c r="R47" s="128"/>
      <c r="S47" s="129"/>
    </row>
    <row r="48" spans="1:19" ht="14.25" customHeight="1" x14ac:dyDescent="0.2">
      <c r="A48" s="104"/>
      <c r="B48" s="3"/>
      <c r="C48" s="3"/>
      <c r="D48" s="24" t="s">
        <v>118</v>
      </c>
      <c r="E48" s="43"/>
      <c r="F48" s="25" t="s">
        <v>116</v>
      </c>
      <c r="G48" s="25" t="s">
        <v>126</v>
      </c>
      <c r="H48" s="25">
        <v>8</v>
      </c>
      <c r="I48" s="48"/>
      <c r="J48" s="26">
        <v>2</v>
      </c>
      <c r="K48" s="26">
        <v>30</v>
      </c>
      <c r="L48" s="29">
        <f t="shared" si="9"/>
        <v>6.666666666666667</v>
      </c>
      <c r="M48" s="13">
        <f t="shared" si="10"/>
        <v>53.333333333333336</v>
      </c>
      <c r="N48" s="50"/>
      <c r="O48" s="50"/>
      <c r="P48" s="128"/>
      <c r="Q48" s="128"/>
      <c r="R48" s="128"/>
      <c r="S48" s="129"/>
    </row>
    <row r="49" spans="1:19" ht="14.25" customHeight="1" x14ac:dyDescent="0.2">
      <c r="A49" s="104"/>
      <c r="B49" s="16"/>
      <c r="C49" s="16"/>
      <c r="D49" s="24" t="s">
        <v>141</v>
      </c>
      <c r="E49" s="51"/>
      <c r="F49" s="25" t="s">
        <v>126</v>
      </c>
      <c r="G49" s="25" t="s">
        <v>127</v>
      </c>
      <c r="H49" s="25">
        <v>8</v>
      </c>
      <c r="I49" s="26"/>
      <c r="J49" s="26">
        <v>2</v>
      </c>
      <c r="K49" s="26">
        <v>30</v>
      </c>
      <c r="L49" s="29">
        <f t="shared" si="9"/>
        <v>6.666666666666667</v>
      </c>
      <c r="M49" s="13">
        <f t="shared" si="10"/>
        <v>53.333333333333336</v>
      </c>
      <c r="N49" s="30"/>
      <c r="O49" s="30"/>
      <c r="P49" s="128"/>
      <c r="Q49" s="128"/>
      <c r="R49" s="128"/>
      <c r="S49" s="129"/>
    </row>
    <row r="50" spans="1:19" s="2" customFormat="1" ht="14.25" customHeight="1" thickBot="1" x14ac:dyDescent="0.25">
      <c r="A50" s="104"/>
      <c r="B50" s="25"/>
      <c r="C50" s="25"/>
      <c r="D50" s="24" t="s">
        <v>139</v>
      </c>
      <c r="E50" s="25"/>
      <c r="F50" s="25" t="s">
        <v>127</v>
      </c>
      <c r="G50" s="2" t="s">
        <v>147</v>
      </c>
      <c r="H50" s="25">
        <v>8</v>
      </c>
      <c r="I50" s="26"/>
      <c r="J50" s="26">
        <v>2</v>
      </c>
      <c r="K50" s="26">
        <v>30</v>
      </c>
      <c r="L50" s="29">
        <f t="shared" si="9"/>
        <v>6.666666666666667</v>
      </c>
      <c r="M50" s="13">
        <f t="shared" si="10"/>
        <v>53.333333333333336</v>
      </c>
      <c r="N50" s="30"/>
      <c r="O50" s="30"/>
      <c r="P50" s="128"/>
      <c r="Q50" s="128"/>
      <c r="R50" s="128"/>
      <c r="S50" s="129"/>
    </row>
    <row r="51" spans="1:19" ht="15" x14ac:dyDescent="0.2">
      <c r="A51" s="27" t="s">
        <v>7</v>
      </c>
      <c r="B51" s="140" t="s">
        <v>21</v>
      </c>
      <c r="C51" s="141"/>
      <c r="D51" s="140" t="s">
        <v>67</v>
      </c>
      <c r="E51" s="141"/>
      <c r="F51" s="112" t="s">
        <v>22</v>
      </c>
      <c r="G51" s="112"/>
      <c r="H51" s="17"/>
      <c r="I51" s="112" t="s">
        <v>8</v>
      </c>
      <c r="J51" s="112"/>
      <c r="K51" s="112"/>
      <c r="L51" s="112"/>
      <c r="M51" s="17" t="s">
        <v>10</v>
      </c>
      <c r="N51" s="112" t="s">
        <v>27</v>
      </c>
      <c r="O51" s="112"/>
      <c r="P51" s="37" t="s">
        <v>11</v>
      </c>
      <c r="Q51" s="17" t="s">
        <v>12</v>
      </c>
      <c r="R51" s="18" t="s">
        <v>19</v>
      </c>
      <c r="S51" s="19"/>
    </row>
    <row r="52" spans="1:19" ht="15" thickBot="1" x14ac:dyDescent="0.25">
      <c r="A52" s="28"/>
      <c r="B52" s="142" t="s">
        <v>71</v>
      </c>
      <c r="C52" s="143"/>
      <c r="D52" s="142" t="s">
        <v>146</v>
      </c>
      <c r="E52" s="143"/>
      <c r="F52" s="117" t="s">
        <v>23</v>
      </c>
      <c r="G52" s="117"/>
      <c r="H52" s="52"/>
      <c r="I52" s="117"/>
      <c r="J52" s="117"/>
      <c r="K52" s="117"/>
      <c r="L52" s="117"/>
      <c r="M52" s="20"/>
      <c r="N52" s="150"/>
      <c r="O52" s="150"/>
      <c r="P52" s="46"/>
      <c r="Q52" s="5">
        <f>P52*N52</f>
        <v>0</v>
      </c>
      <c r="R52" s="5">
        <f>Q52</f>
        <v>0</v>
      </c>
      <c r="S52" s="22"/>
    </row>
    <row r="53" spans="1:19" ht="15" thickBot="1" x14ac:dyDescent="0.25">
      <c r="A53" s="81"/>
      <c r="B53" s="82"/>
      <c r="C53" s="82"/>
      <c r="D53" s="82"/>
      <c r="E53" s="82"/>
      <c r="F53" s="82"/>
      <c r="G53" s="82"/>
      <c r="H53" s="82"/>
      <c r="I53" s="83"/>
      <c r="J53" s="83"/>
      <c r="K53" s="83"/>
      <c r="L53" s="82"/>
      <c r="M53" s="82"/>
      <c r="N53" s="84"/>
      <c r="O53" s="82"/>
      <c r="P53" s="82"/>
      <c r="Q53" s="82"/>
      <c r="R53" s="82"/>
      <c r="S53" s="85"/>
    </row>
    <row r="54" spans="1:19" ht="45.75" thickBot="1" x14ac:dyDescent="0.25">
      <c r="A54" s="7" t="s">
        <v>0</v>
      </c>
      <c r="B54" s="8" t="s">
        <v>1</v>
      </c>
      <c r="C54" s="8" t="s">
        <v>9</v>
      </c>
      <c r="D54" s="8" t="s">
        <v>13</v>
      </c>
      <c r="E54" s="8" t="s">
        <v>29</v>
      </c>
      <c r="F54" s="8" t="s">
        <v>5</v>
      </c>
      <c r="G54" s="8" t="s">
        <v>6</v>
      </c>
      <c r="H54" s="8" t="s">
        <v>2</v>
      </c>
      <c r="I54" s="8" t="s">
        <v>179</v>
      </c>
      <c r="J54" s="8" t="s">
        <v>180</v>
      </c>
      <c r="K54" s="8" t="s">
        <v>56</v>
      </c>
      <c r="L54" s="8" t="s">
        <v>3</v>
      </c>
      <c r="M54" s="8" t="s">
        <v>4</v>
      </c>
      <c r="N54" s="9" t="s">
        <v>25</v>
      </c>
      <c r="O54" s="8" t="s">
        <v>140</v>
      </c>
      <c r="P54" s="132" t="s">
        <v>9</v>
      </c>
      <c r="Q54" s="133"/>
      <c r="R54" s="133"/>
      <c r="S54" s="134"/>
    </row>
    <row r="55" spans="1:19" ht="14.25" customHeight="1" x14ac:dyDescent="0.2">
      <c r="A55" s="103" t="s">
        <v>44</v>
      </c>
      <c r="B55" s="6"/>
      <c r="C55" s="6"/>
      <c r="D55" s="97">
        <v>42992</v>
      </c>
      <c r="E55" s="4"/>
      <c r="F55" s="25" t="s">
        <v>70</v>
      </c>
      <c r="G55" s="25" t="s">
        <v>66</v>
      </c>
      <c r="H55" s="25">
        <v>8</v>
      </c>
      <c r="I55" s="26"/>
      <c r="J55" s="26">
        <v>2</v>
      </c>
      <c r="K55" s="26">
        <v>30</v>
      </c>
      <c r="L55" s="29">
        <f>(100/K55)*J55</f>
        <v>6.666666666666667</v>
      </c>
      <c r="M55" s="13">
        <f>L55*H55</f>
        <v>53.333333333333336</v>
      </c>
      <c r="N55" s="50"/>
      <c r="O55" s="50"/>
      <c r="P55" s="109" t="s">
        <v>97</v>
      </c>
      <c r="Q55" s="128"/>
      <c r="R55" s="128"/>
      <c r="S55" s="129"/>
    </row>
    <row r="56" spans="1:19" x14ac:dyDescent="0.2">
      <c r="A56" s="104"/>
      <c r="B56" s="23"/>
      <c r="C56" s="23"/>
      <c r="D56" s="4" t="s">
        <v>138</v>
      </c>
      <c r="E56" s="24"/>
      <c r="F56" s="25" t="s">
        <v>66</v>
      </c>
      <c r="G56" s="25" t="s">
        <v>116</v>
      </c>
      <c r="H56" s="25">
        <v>8</v>
      </c>
      <c r="I56" s="48"/>
      <c r="J56" s="26">
        <v>2</v>
      </c>
      <c r="K56" s="26">
        <v>30</v>
      </c>
      <c r="L56" s="29">
        <f t="shared" ref="L56:L59" si="11">(100/K56)*J56</f>
        <v>6.666666666666667</v>
      </c>
      <c r="M56" s="13">
        <f t="shared" ref="M56:M59" si="12">L56*H56</f>
        <v>53.333333333333336</v>
      </c>
      <c r="N56" s="50"/>
      <c r="O56" s="50"/>
      <c r="P56" s="128"/>
      <c r="Q56" s="128"/>
      <c r="R56" s="128"/>
      <c r="S56" s="129"/>
    </row>
    <row r="57" spans="1:19" x14ac:dyDescent="0.2">
      <c r="A57" s="104"/>
      <c r="B57" s="62"/>
      <c r="C57" s="23"/>
      <c r="D57" s="24" t="s">
        <v>118</v>
      </c>
      <c r="E57" s="24"/>
      <c r="F57" s="25" t="s">
        <v>116</v>
      </c>
      <c r="G57" s="25" t="s">
        <v>126</v>
      </c>
      <c r="H57" s="25">
        <v>8</v>
      </c>
      <c r="I57" s="48"/>
      <c r="J57" s="26">
        <v>2</v>
      </c>
      <c r="K57" s="26">
        <v>30</v>
      </c>
      <c r="L57" s="29">
        <f t="shared" si="11"/>
        <v>6.666666666666667</v>
      </c>
      <c r="M57" s="13">
        <f t="shared" si="12"/>
        <v>53.333333333333336</v>
      </c>
      <c r="N57" s="50"/>
      <c r="O57" s="50"/>
      <c r="P57" s="128"/>
      <c r="Q57" s="128"/>
      <c r="R57" s="128"/>
      <c r="S57" s="129"/>
    </row>
    <row r="58" spans="1:19" x14ac:dyDescent="0.2">
      <c r="A58" s="104"/>
      <c r="B58" s="62"/>
      <c r="C58" s="23"/>
      <c r="D58" s="24" t="s">
        <v>141</v>
      </c>
      <c r="E58" s="24"/>
      <c r="F58" s="25" t="s">
        <v>126</v>
      </c>
      <c r="G58" s="25" t="s">
        <v>127</v>
      </c>
      <c r="H58" s="25">
        <v>8</v>
      </c>
      <c r="I58" s="26"/>
      <c r="J58" s="26">
        <v>2</v>
      </c>
      <c r="K58" s="26">
        <v>30</v>
      </c>
      <c r="L58" s="29">
        <f t="shared" si="11"/>
        <v>6.666666666666667</v>
      </c>
      <c r="M58" s="13">
        <f t="shared" si="12"/>
        <v>53.333333333333336</v>
      </c>
      <c r="N58" s="30"/>
      <c r="O58" s="30"/>
      <c r="P58" s="128"/>
      <c r="Q58" s="128"/>
      <c r="R58" s="128"/>
      <c r="S58" s="129"/>
    </row>
    <row r="59" spans="1:19" ht="15" thickBot="1" x14ac:dyDescent="0.25">
      <c r="A59" s="104"/>
      <c r="C59" s="23"/>
      <c r="D59" s="24" t="s">
        <v>139</v>
      </c>
      <c r="E59" s="24"/>
      <c r="F59" s="25" t="s">
        <v>127</v>
      </c>
      <c r="G59" s="2" t="s">
        <v>147</v>
      </c>
      <c r="H59" s="25">
        <v>8</v>
      </c>
      <c r="I59" s="26"/>
      <c r="J59" s="26">
        <v>2</v>
      </c>
      <c r="K59" s="26">
        <v>30</v>
      </c>
      <c r="L59" s="29">
        <f t="shared" si="11"/>
        <v>6.666666666666667</v>
      </c>
      <c r="M59" s="13">
        <f t="shared" si="12"/>
        <v>53.333333333333336</v>
      </c>
      <c r="N59" s="30"/>
      <c r="O59" s="30"/>
      <c r="P59" s="128"/>
      <c r="Q59" s="128"/>
      <c r="R59" s="128"/>
      <c r="S59" s="129"/>
    </row>
    <row r="60" spans="1:19" ht="15" x14ac:dyDescent="0.2">
      <c r="A60" s="27" t="s">
        <v>7</v>
      </c>
      <c r="B60" s="140" t="s">
        <v>21</v>
      </c>
      <c r="C60" s="141"/>
      <c r="D60" s="140" t="s">
        <v>67</v>
      </c>
      <c r="E60" s="141"/>
      <c r="F60" s="112" t="s">
        <v>22</v>
      </c>
      <c r="G60" s="112"/>
      <c r="H60" s="17"/>
      <c r="I60" s="113" t="s">
        <v>8</v>
      </c>
      <c r="J60" s="113"/>
      <c r="K60" s="113"/>
      <c r="L60" s="114"/>
      <c r="M60" s="36" t="s">
        <v>10</v>
      </c>
      <c r="N60" s="115" t="s">
        <v>15</v>
      </c>
      <c r="O60" s="114"/>
      <c r="P60" s="17" t="s">
        <v>11</v>
      </c>
      <c r="Q60" s="17" t="s">
        <v>12</v>
      </c>
      <c r="R60" s="18" t="s">
        <v>20</v>
      </c>
      <c r="S60" s="19"/>
    </row>
    <row r="61" spans="1:19" ht="15" thickBot="1" x14ac:dyDescent="0.25">
      <c r="A61" s="28"/>
      <c r="B61" s="142" t="s">
        <v>71</v>
      </c>
      <c r="C61" s="143"/>
      <c r="D61" s="142" t="s">
        <v>146</v>
      </c>
      <c r="E61" s="143"/>
      <c r="F61" s="117" t="s">
        <v>23</v>
      </c>
      <c r="G61" s="117"/>
      <c r="H61" s="52"/>
      <c r="I61" s="118"/>
      <c r="J61" s="118"/>
      <c r="K61" s="118"/>
      <c r="L61" s="119"/>
      <c r="M61" s="20"/>
      <c r="N61" s="120"/>
      <c r="O61" s="121"/>
      <c r="P61" s="5"/>
      <c r="Q61" s="5">
        <f>P61*N61</f>
        <v>0</v>
      </c>
      <c r="R61" s="5">
        <f>Q61*6</f>
        <v>0</v>
      </c>
      <c r="S61" s="22"/>
    </row>
    <row r="62" spans="1:19" ht="15" thickBot="1" x14ac:dyDescent="0.25">
      <c r="A62" s="81"/>
      <c r="B62" s="82"/>
      <c r="C62" s="82"/>
      <c r="D62" s="82"/>
      <c r="E62" s="82"/>
      <c r="F62" s="82"/>
      <c r="G62" s="82"/>
      <c r="H62" s="82"/>
      <c r="I62" s="83"/>
      <c r="J62" s="83"/>
      <c r="K62" s="83"/>
      <c r="L62" s="82"/>
      <c r="M62" s="82"/>
      <c r="N62" s="84"/>
      <c r="O62" s="82"/>
      <c r="P62" s="82"/>
      <c r="Q62" s="82"/>
      <c r="R62" s="82"/>
      <c r="S62" s="85"/>
    </row>
    <row r="63" spans="1:19" ht="45.75" thickBot="1" x14ac:dyDescent="0.25">
      <c r="A63" s="7" t="s">
        <v>0</v>
      </c>
      <c r="B63" s="47" t="s">
        <v>1</v>
      </c>
      <c r="C63" s="47" t="s">
        <v>9</v>
      </c>
      <c r="D63" s="8" t="s">
        <v>13</v>
      </c>
      <c r="E63" s="8" t="s">
        <v>29</v>
      </c>
      <c r="F63" s="8" t="s">
        <v>5</v>
      </c>
      <c r="G63" s="8" t="s">
        <v>6</v>
      </c>
      <c r="H63" s="8" t="s">
        <v>2</v>
      </c>
      <c r="I63" s="8" t="s">
        <v>179</v>
      </c>
      <c r="J63" s="8" t="s">
        <v>180</v>
      </c>
      <c r="K63" s="8" t="s">
        <v>56</v>
      </c>
      <c r="L63" s="8" t="s">
        <v>3</v>
      </c>
      <c r="M63" s="8" t="s">
        <v>4</v>
      </c>
      <c r="N63" s="9" t="s">
        <v>25</v>
      </c>
      <c r="O63" s="8" t="s">
        <v>14</v>
      </c>
      <c r="P63" s="132" t="s">
        <v>9</v>
      </c>
      <c r="Q63" s="133"/>
      <c r="R63" s="133"/>
      <c r="S63" s="134"/>
    </row>
    <row r="64" spans="1:19" ht="14.25" customHeight="1" x14ac:dyDescent="0.2">
      <c r="A64" s="137" t="s">
        <v>45</v>
      </c>
      <c r="B64" s="40" t="s">
        <v>45</v>
      </c>
      <c r="C64" s="40"/>
      <c r="D64" s="98">
        <v>42992</v>
      </c>
      <c r="E64" s="24"/>
      <c r="F64" s="101">
        <v>43031</v>
      </c>
      <c r="G64" s="25"/>
      <c r="H64" s="49">
        <v>8</v>
      </c>
      <c r="I64" s="48"/>
      <c r="J64" s="48">
        <v>4</v>
      </c>
      <c r="K64" s="48">
        <v>20</v>
      </c>
      <c r="L64" s="29">
        <f>(100/K64)*J64</f>
        <v>20</v>
      </c>
      <c r="M64" s="13">
        <f>L64*H64</f>
        <v>160</v>
      </c>
      <c r="N64" s="50"/>
      <c r="O64" s="50"/>
      <c r="P64" s="122" t="s">
        <v>176</v>
      </c>
      <c r="Q64" s="123"/>
      <c r="R64" s="123"/>
      <c r="S64" s="124"/>
    </row>
    <row r="65" spans="1:19" ht="14.25" customHeight="1" x14ac:dyDescent="0.2">
      <c r="A65" s="138"/>
      <c r="B65" s="40" t="s">
        <v>45</v>
      </c>
      <c r="C65" s="3"/>
      <c r="D65" s="98">
        <v>43031</v>
      </c>
      <c r="E65" s="24"/>
      <c r="F65" s="25"/>
      <c r="G65" s="25"/>
      <c r="H65" s="49">
        <v>12</v>
      </c>
      <c r="I65" s="48"/>
      <c r="J65" s="48">
        <v>4</v>
      </c>
      <c r="K65" s="48">
        <v>20</v>
      </c>
      <c r="L65" s="29">
        <f>(100/K65)*J65</f>
        <v>20</v>
      </c>
      <c r="M65" s="13">
        <f>L65*H65</f>
        <v>240</v>
      </c>
      <c r="N65" s="50"/>
      <c r="O65" s="50"/>
      <c r="P65" s="125"/>
      <c r="Q65" s="126"/>
      <c r="R65" s="126"/>
      <c r="S65" s="127"/>
    </row>
    <row r="66" spans="1:19" ht="15" customHeight="1" thickBot="1" x14ac:dyDescent="0.25">
      <c r="A66" s="139"/>
      <c r="B66" s="40"/>
      <c r="C66" s="40"/>
      <c r="D66" s="24"/>
      <c r="E66" s="24"/>
      <c r="F66" s="25"/>
      <c r="G66" s="25"/>
      <c r="H66" s="25"/>
      <c r="I66" s="26"/>
      <c r="J66" s="26"/>
      <c r="K66" s="26"/>
      <c r="L66" s="30"/>
      <c r="M66" s="30"/>
      <c r="N66" s="30"/>
      <c r="O66" s="30"/>
      <c r="P66" s="125"/>
      <c r="Q66" s="126"/>
      <c r="R66" s="126"/>
      <c r="S66" s="127"/>
    </row>
    <row r="67" spans="1:19" ht="15" x14ac:dyDescent="0.2">
      <c r="A67" s="27" t="s">
        <v>7</v>
      </c>
      <c r="B67" s="140" t="s">
        <v>21</v>
      </c>
      <c r="C67" s="141"/>
      <c r="D67" s="140" t="s">
        <v>67</v>
      </c>
      <c r="E67" s="141"/>
      <c r="F67" s="112" t="s">
        <v>22</v>
      </c>
      <c r="G67" s="112"/>
      <c r="H67" s="17"/>
      <c r="I67" s="113" t="s">
        <v>8</v>
      </c>
      <c r="J67" s="113"/>
      <c r="K67" s="113"/>
      <c r="L67" s="114"/>
      <c r="M67" s="36" t="s">
        <v>10</v>
      </c>
      <c r="N67" s="115" t="s">
        <v>15</v>
      </c>
      <c r="O67" s="114"/>
      <c r="P67" s="17" t="s">
        <v>11</v>
      </c>
      <c r="Q67" s="17" t="s">
        <v>12</v>
      </c>
      <c r="R67" s="18" t="s">
        <v>20</v>
      </c>
      <c r="S67" s="19"/>
    </row>
    <row r="68" spans="1:19" ht="15" thickBot="1" x14ac:dyDescent="0.25">
      <c r="A68" s="28"/>
      <c r="B68" s="142" t="s">
        <v>72</v>
      </c>
      <c r="C68" s="143"/>
      <c r="D68" s="142" t="s">
        <v>100</v>
      </c>
      <c r="E68" s="143"/>
      <c r="F68" s="144" t="s">
        <v>98</v>
      </c>
      <c r="G68" s="119"/>
      <c r="H68" s="52"/>
      <c r="I68" s="118"/>
      <c r="J68" s="118"/>
      <c r="K68" s="118"/>
      <c r="L68" s="119"/>
      <c r="M68" s="20"/>
      <c r="N68" s="120"/>
      <c r="O68" s="121"/>
      <c r="P68" s="5"/>
      <c r="Q68" s="5">
        <f>P68*N68</f>
        <v>0</v>
      </c>
      <c r="R68" s="5">
        <f>Q68*5</f>
        <v>0</v>
      </c>
      <c r="S68" s="22"/>
    </row>
    <row r="69" spans="1:19" ht="15" thickBot="1" x14ac:dyDescent="0.25">
      <c r="A69" s="81"/>
      <c r="B69" s="82"/>
      <c r="C69" s="82"/>
      <c r="D69" s="82"/>
      <c r="E69" s="82"/>
      <c r="F69" s="82"/>
      <c r="G69" s="82"/>
      <c r="H69" s="82"/>
      <c r="I69" s="83"/>
      <c r="J69" s="83"/>
      <c r="K69" s="83"/>
      <c r="L69" s="82"/>
      <c r="M69" s="82"/>
      <c r="N69" s="84"/>
      <c r="O69" s="82"/>
      <c r="P69" s="82"/>
      <c r="Q69" s="82"/>
      <c r="R69" s="82"/>
      <c r="S69" s="85"/>
    </row>
    <row r="70" spans="1:19" ht="45.75" thickBot="1" x14ac:dyDescent="0.25">
      <c r="A70" s="7" t="s">
        <v>0</v>
      </c>
      <c r="B70" s="8" t="s">
        <v>1</v>
      </c>
      <c r="C70" s="8" t="s">
        <v>9</v>
      </c>
      <c r="D70" s="8" t="s">
        <v>13</v>
      </c>
      <c r="E70" s="8" t="s">
        <v>29</v>
      </c>
      <c r="F70" s="8" t="s">
        <v>5</v>
      </c>
      <c r="G70" s="8" t="s">
        <v>6</v>
      </c>
      <c r="H70" s="8" t="s">
        <v>2</v>
      </c>
      <c r="I70" s="8" t="s">
        <v>179</v>
      </c>
      <c r="J70" s="8" t="s">
        <v>180</v>
      </c>
      <c r="K70" s="8" t="s">
        <v>56</v>
      </c>
      <c r="L70" s="8" t="s">
        <v>3</v>
      </c>
      <c r="M70" s="8" t="s">
        <v>4</v>
      </c>
      <c r="N70" s="9" t="s">
        <v>25</v>
      </c>
      <c r="O70" s="8" t="s">
        <v>28</v>
      </c>
      <c r="P70" s="132" t="s">
        <v>9</v>
      </c>
      <c r="Q70" s="133"/>
      <c r="R70" s="133"/>
      <c r="S70" s="134"/>
    </row>
    <row r="71" spans="1:19" x14ac:dyDescent="0.2">
      <c r="A71" s="135" t="s">
        <v>46</v>
      </c>
      <c r="B71" s="23" t="s">
        <v>103</v>
      </c>
      <c r="C71" s="23"/>
      <c r="D71" s="99">
        <v>42996</v>
      </c>
      <c r="F71" s="99">
        <v>43027</v>
      </c>
      <c r="G71" s="25"/>
      <c r="H71" s="49">
        <v>4</v>
      </c>
      <c r="I71" s="48"/>
      <c r="J71" s="48">
        <v>6</v>
      </c>
      <c r="K71" s="48">
        <v>5</v>
      </c>
      <c r="L71" s="29">
        <f>(100/K71)*J71</f>
        <v>120</v>
      </c>
      <c r="M71" s="13">
        <f>L71*H71</f>
        <v>480</v>
      </c>
      <c r="N71" s="50"/>
      <c r="O71" s="50"/>
      <c r="P71" s="105" t="s">
        <v>99</v>
      </c>
      <c r="Q71" s="106"/>
      <c r="R71" s="106"/>
      <c r="S71" s="107"/>
    </row>
    <row r="72" spans="1:19" x14ac:dyDescent="0.2">
      <c r="A72" s="136"/>
      <c r="B72" s="23"/>
      <c r="C72" s="23"/>
      <c r="D72" s="31"/>
      <c r="E72" s="31"/>
      <c r="F72" s="25"/>
      <c r="G72" s="25"/>
      <c r="H72" s="49"/>
      <c r="I72" s="48"/>
      <c r="J72" s="48"/>
      <c r="K72" s="48"/>
      <c r="L72" s="29"/>
      <c r="M72" s="50"/>
      <c r="N72" s="50"/>
      <c r="O72" s="50"/>
      <c r="P72" s="108"/>
      <c r="Q72" s="109"/>
      <c r="R72" s="109"/>
      <c r="S72" s="110"/>
    </row>
    <row r="73" spans="1:19" x14ac:dyDescent="0.2">
      <c r="A73" s="136"/>
      <c r="B73" s="23"/>
      <c r="C73" s="23"/>
      <c r="D73" s="31"/>
      <c r="E73" s="31"/>
      <c r="F73" s="25"/>
      <c r="G73" s="25"/>
      <c r="H73" s="49"/>
      <c r="I73" s="48"/>
      <c r="J73" s="48"/>
      <c r="K73" s="48"/>
      <c r="L73" s="29"/>
      <c r="M73" s="50"/>
      <c r="N73" s="50"/>
      <c r="O73" s="50"/>
      <c r="P73" s="108"/>
      <c r="Q73" s="109"/>
      <c r="R73" s="109"/>
      <c r="S73" s="110"/>
    </row>
    <row r="74" spans="1:19" ht="15" thickBot="1" x14ac:dyDescent="0.25">
      <c r="A74" s="136"/>
      <c r="B74" s="23"/>
      <c r="C74" s="23"/>
      <c r="D74" s="24"/>
      <c r="E74" s="24"/>
      <c r="F74" s="25"/>
      <c r="G74" s="25"/>
      <c r="H74" s="25"/>
      <c r="I74" s="26"/>
      <c r="J74" s="26"/>
      <c r="K74" s="26"/>
      <c r="L74" s="29"/>
      <c r="M74" s="50"/>
      <c r="N74" s="50"/>
      <c r="O74" s="50"/>
      <c r="P74" s="108"/>
      <c r="Q74" s="109"/>
      <c r="R74" s="109"/>
      <c r="S74" s="110"/>
    </row>
    <row r="75" spans="1:19" ht="15" x14ac:dyDescent="0.2">
      <c r="A75" s="27" t="s">
        <v>7</v>
      </c>
      <c r="B75" s="140" t="s">
        <v>21</v>
      </c>
      <c r="C75" s="141"/>
      <c r="D75" s="140" t="s">
        <v>67</v>
      </c>
      <c r="E75" s="141"/>
      <c r="F75" s="112" t="s">
        <v>22</v>
      </c>
      <c r="G75" s="112"/>
      <c r="H75" s="17"/>
      <c r="I75" s="113" t="s">
        <v>8</v>
      </c>
      <c r="J75" s="113"/>
      <c r="K75" s="113"/>
      <c r="L75" s="114"/>
      <c r="M75" s="36" t="s">
        <v>10</v>
      </c>
      <c r="N75" s="115" t="s">
        <v>15</v>
      </c>
      <c r="O75" s="114"/>
      <c r="P75" s="17" t="s">
        <v>11</v>
      </c>
      <c r="Q75" s="17" t="s">
        <v>12</v>
      </c>
      <c r="R75" s="18" t="s">
        <v>20</v>
      </c>
      <c r="S75" s="19"/>
    </row>
    <row r="76" spans="1:19" ht="15" thickBot="1" x14ac:dyDescent="0.25">
      <c r="A76" s="28"/>
      <c r="B76" s="142" t="s">
        <v>73</v>
      </c>
      <c r="C76" s="143"/>
      <c r="D76" s="142" t="s">
        <v>101</v>
      </c>
      <c r="E76" s="143"/>
      <c r="F76" s="117" t="s">
        <v>60</v>
      </c>
      <c r="G76" s="117"/>
      <c r="H76" s="52"/>
      <c r="I76" s="118"/>
      <c r="J76" s="118"/>
      <c r="K76" s="118"/>
      <c r="L76" s="119"/>
      <c r="M76" s="20"/>
      <c r="N76" s="120"/>
      <c r="O76" s="121"/>
      <c r="P76" s="5"/>
      <c r="Q76" s="5">
        <f>P76*N76/5</f>
        <v>0</v>
      </c>
      <c r="R76" s="5">
        <f>Q76*5</f>
        <v>0</v>
      </c>
      <c r="S76" s="22"/>
    </row>
    <row r="77" spans="1:19" ht="15" thickBot="1" x14ac:dyDescent="0.25">
      <c r="A77" s="81"/>
      <c r="B77" s="82"/>
      <c r="C77" s="82"/>
      <c r="D77" s="82"/>
      <c r="E77" s="82"/>
      <c r="F77" s="82"/>
      <c r="G77" s="82"/>
      <c r="H77" s="82"/>
      <c r="I77" s="83"/>
      <c r="J77" s="83"/>
      <c r="K77" s="83"/>
      <c r="L77" s="82"/>
      <c r="M77" s="82"/>
      <c r="N77" s="84"/>
      <c r="O77" s="82"/>
      <c r="P77" s="82"/>
      <c r="Q77" s="82"/>
      <c r="R77" s="82"/>
      <c r="S77" s="85"/>
    </row>
    <row r="78" spans="1:19" ht="45.75" thickBot="1" x14ac:dyDescent="0.25">
      <c r="A78" s="7" t="s">
        <v>0</v>
      </c>
      <c r="B78" s="8" t="s">
        <v>1</v>
      </c>
      <c r="C78" s="8" t="s">
        <v>9</v>
      </c>
      <c r="D78" s="8" t="s">
        <v>13</v>
      </c>
      <c r="E78" s="8" t="s">
        <v>29</v>
      </c>
      <c r="F78" s="8" t="s">
        <v>5</v>
      </c>
      <c r="G78" s="8" t="s">
        <v>6</v>
      </c>
      <c r="H78" s="8" t="s">
        <v>2</v>
      </c>
      <c r="I78" s="8" t="s">
        <v>179</v>
      </c>
      <c r="J78" s="8" t="s">
        <v>180</v>
      </c>
      <c r="K78" s="8" t="s">
        <v>56</v>
      </c>
      <c r="L78" s="8" t="s">
        <v>3</v>
      </c>
      <c r="M78" s="8" t="s">
        <v>4</v>
      </c>
      <c r="N78" s="9" t="s">
        <v>16</v>
      </c>
      <c r="O78" s="8" t="s">
        <v>14</v>
      </c>
      <c r="P78" s="132" t="s">
        <v>9</v>
      </c>
      <c r="Q78" s="133"/>
      <c r="R78" s="133"/>
      <c r="S78" s="134"/>
    </row>
    <row r="79" spans="1:19" ht="15.75" thickBot="1" x14ac:dyDescent="0.25">
      <c r="A79" s="103" t="s">
        <v>47</v>
      </c>
      <c r="B79" s="23" t="s">
        <v>74</v>
      </c>
      <c r="C79" s="23" t="s">
        <v>107</v>
      </c>
      <c r="D79" s="99">
        <v>42992</v>
      </c>
      <c r="E79" s="31"/>
      <c r="F79" s="25"/>
      <c r="G79" s="25"/>
      <c r="H79" s="49">
        <v>8</v>
      </c>
      <c r="I79" s="48"/>
      <c r="J79" s="48">
        <v>4</v>
      </c>
      <c r="K79" s="48">
        <v>20</v>
      </c>
      <c r="L79" s="29">
        <f>(100/K79)*J79</f>
        <v>20</v>
      </c>
      <c r="M79" s="13">
        <f>L79*H79</f>
        <v>160</v>
      </c>
      <c r="N79" s="50"/>
      <c r="O79" s="50"/>
      <c r="P79" s="94"/>
      <c r="Q79" s="95"/>
      <c r="R79" s="95"/>
      <c r="S79" s="96"/>
    </row>
    <row r="80" spans="1:19" ht="15.75" thickBot="1" x14ac:dyDescent="0.25">
      <c r="A80" s="104"/>
      <c r="B80" s="23" t="s">
        <v>75</v>
      </c>
      <c r="C80" s="23" t="s">
        <v>106</v>
      </c>
      <c r="D80" s="99">
        <v>42992</v>
      </c>
      <c r="E80" s="31"/>
      <c r="F80" s="25"/>
      <c r="G80" s="25"/>
      <c r="H80" s="49">
        <v>8</v>
      </c>
      <c r="I80" s="48"/>
      <c r="J80" s="48">
        <v>4</v>
      </c>
      <c r="K80" s="48">
        <v>20</v>
      </c>
      <c r="L80" s="29">
        <f>(100/K80)*J80</f>
        <v>20</v>
      </c>
      <c r="M80" s="13">
        <f>L80*H80</f>
        <v>160</v>
      </c>
      <c r="N80" s="50"/>
      <c r="O80" s="50"/>
      <c r="P80" s="94"/>
      <c r="Q80" s="95"/>
      <c r="R80" s="95"/>
      <c r="S80" s="96"/>
    </row>
    <row r="81" spans="1:19" ht="14.25" customHeight="1" x14ac:dyDescent="0.2">
      <c r="A81" s="104"/>
      <c r="B81" s="23" t="s">
        <v>74</v>
      </c>
      <c r="C81" s="23" t="s">
        <v>107</v>
      </c>
      <c r="D81" s="31" t="s">
        <v>66</v>
      </c>
      <c r="E81" s="31"/>
      <c r="F81" s="25"/>
      <c r="G81" s="25"/>
      <c r="H81" s="49">
        <v>8</v>
      </c>
      <c r="I81" s="48"/>
      <c r="J81" s="48">
        <v>4</v>
      </c>
      <c r="K81" s="48">
        <v>20</v>
      </c>
      <c r="L81" s="29">
        <f>(100/K81)*J81</f>
        <v>20</v>
      </c>
      <c r="M81" s="13">
        <f>L81*H81</f>
        <v>160</v>
      </c>
      <c r="N81" s="50"/>
      <c r="O81" s="50"/>
      <c r="P81" s="105" t="s">
        <v>76</v>
      </c>
      <c r="Q81" s="106"/>
      <c r="R81" s="106"/>
      <c r="S81" s="107"/>
    </row>
    <row r="82" spans="1:19" ht="15" customHeight="1" thickBot="1" x14ac:dyDescent="0.25">
      <c r="A82" s="152"/>
      <c r="B82" s="23" t="s">
        <v>75</v>
      </c>
      <c r="C82" s="23" t="s">
        <v>106</v>
      </c>
      <c r="D82" s="31" t="s">
        <v>66</v>
      </c>
      <c r="E82" s="31"/>
      <c r="F82" s="25"/>
      <c r="G82" s="25"/>
      <c r="H82" s="49">
        <v>8</v>
      </c>
      <c r="I82" s="48"/>
      <c r="J82" s="48">
        <v>4</v>
      </c>
      <c r="K82" s="48">
        <v>20</v>
      </c>
      <c r="L82" s="29">
        <f>(100/K82)*J82</f>
        <v>20</v>
      </c>
      <c r="M82" s="13">
        <f>L82*H82</f>
        <v>160</v>
      </c>
      <c r="N82" s="50"/>
      <c r="O82" s="50"/>
      <c r="P82" s="108"/>
      <c r="Q82" s="109"/>
      <c r="R82" s="109"/>
      <c r="S82" s="110"/>
    </row>
    <row r="83" spans="1:19" ht="15" x14ac:dyDescent="0.2">
      <c r="A83" s="27"/>
      <c r="B83" s="111" t="s">
        <v>21</v>
      </c>
      <c r="C83" s="111"/>
      <c r="D83" s="111"/>
      <c r="E83" s="55" t="s">
        <v>67</v>
      </c>
      <c r="F83" s="112" t="s">
        <v>22</v>
      </c>
      <c r="G83" s="112"/>
      <c r="H83" s="17"/>
      <c r="I83" s="113" t="s">
        <v>8</v>
      </c>
      <c r="J83" s="113"/>
      <c r="K83" s="113"/>
      <c r="L83" s="114"/>
      <c r="M83" s="36" t="s">
        <v>10</v>
      </c>
      <c r="N83" s="115" t="s">
        <v>15</v>
      </c>
      <c r="O83" s="114"/>
      <c r="P83" s="17" t="s">
        <v>11</v>
      </c>
      <c r="Q83" s="17" t="s">
        <v>12</v>
      </c>
      <c r="R83" s="18" t="s">
        <v>20</v>
      </c>
      <c r="S83" s="19"/>
    </row>
    <row r="84" spans="1:19" ht="15" thickBot="1" x14ac:dyDescent="0.25">
      <c r="A84" s="28"/>
      <c r="B84" s="116" t="s">
        <v>77</v>
      </c>
      <c r="C84" s="116"/>
      <c r="D84" s="116"/>
      <c r="E84" s="31" t="s">
        <v>102</v>
      </c>
      <c r="F84" s="117" t="s">
        <v>63</v>
      </c>
      <c r="G84" s="117"/>
      <c r="H84" s="52"/>
      <c r="I84" s="118"/>
      <c r="J84" s="118"/>
      <c r="K84" s="118"/>
      <c r="L84" s="119"/>
      <c r="M84" s="20">
        <f>SUM(H81:H82)</f>
        <v>16</v>
      </c>
      <c r="N84" s="120">
        <f>O81</f>
        <v>0</v>
      </c>
      <c r="O84" s="121"/>
      <c r="P84" s="5">
        <v>0</v>
      </c>
      <c r="Q84" s="5">
        <f>P84*N84</f>
        <v>0</v>
      </c>
      <c r="R84" s="5">
        <f>Q84*5</f>
        <v>0</v>
      </c>
      <c r="S84" s="22"/>
    </row>
    <row r="85" spans="1:19" ht="15" thickBot="1" x14ac:dyDescent="0.25">
      <c r="A85" s="81"/>
      <c r="B85" s="82"/>
      <c r="C85" s="82"/>
      <c r="D85" s="82"/>
      <c r="E85" s="82"/>
      <c r="F85" s="82"/>
      <c r="G85" s="82"/>
      <c r="H85" s="82"/>
      <c r="I85" s="83"/>
      <c r="J85" s="83"/>
      <c r="K85" s="83"/>
      <c r="L85" s="82"/>
      <c r="M85" s="82"/>
      <c r="N85" s="84"/>
      <c r="O85" s="82"/>
      <c r="P85" s="82"/>
      <c r="Q85" s="82"/>
      <c r="R85" s="82"/>
      <c r="S85" s="85"/>
    </row>
    <row r="86" spans="1:19" ht="57.75" customHeight="1" thickBot="1" x14ac:dyDescent="0.25">
      <c r="A86" s="7" t="s">
        <v>0</v>
      </c>
      <c r="B86" s="8" t="s">
        <v>1</v>
      </c>
      <c r="C86" s="8" t="s">
        <v>9</v>
      </c>
      <c r="D86" s="8" t="s">
        <v>31</v>
      </c>
      <c r="E86" s="8" t="s">
        <v>29</v>
      </c>
      <c r="F86" s="8" t="s">
        <v>5</v>
      </c>
      <c r="G86" s="8" t="s">
        <v>6</v>
      </c>
      <c r="H86" s="8" t="s">
        <v>2</v>
      </c>
      <c r="I86" s="8" t="s">
        <v>179</v>
      </c>
      <c r="J86" s="8" t="s">
        <v>180</v>
      </c>
      <c r="K86" s="8" t="s">
        <v>56</v>
      </c>
      <c r="L86" s="8" t="s">
        <v>3</v>
      </c>
      <c r="M86" s="8" t="s">
        <v>4</v>
      </c>
      <c r="N86" s="9" t="s">
        <v>25</v>
      </c>
      <c r="O86" s="8" t="s">
        <v>14</v>
      </c>
      <c r="P86" s="132" t="s">
        <v>9</v>
      </c>
      <c r="Q86" s="133"/>
      <c r="R86" s="133"/>
      <c r="S86" s="134"/>
    </row>
    <row r="87" spans="1:19" x14ac:dyDescent="0.2">
      <c r="A87" s="137" t="s">
        <v>78</v>
      </c>
      <c r="B87" s="23" t="s">
        <v>78</v>
      </c>
      <c r="C87" s="23" t="s">
        <v>104</v>
      </c>
      <c r="D87" s="100">
        <v>42992</v>
      </c>
      <c r="E87" s="31"/>
      <c r="F87" s="25"/>
      <c r="G87" s="25"/>
      <c r="H87" s="49">
        <v>8</v>
      </c>
      <c r="I87" s="48"/>
      <c r="J87" s="48">
        <v>4</v>
      </c>
      <c r="K87" s="48">
        <v>20</v>
      </c>
      <c r="L87" s="29">
        <f>(100/K87)*J87</f>
        <v>20</v>
      </c>
      <c r="M87" s="13">
        <f>L87*H87</f>
        <v>160</v>
      </c>
      <c r="N87" s="50"/>
      <c r="O87" s="50"/>
      <c r="P87" s="105" t="s">
        <v>168</v>
      </c>
      <c r="Q87" s="106"/>
      <c r="R87" s="106"/>
      <c r="S87" s="107"/>
    </row>
    <row r="88" spans="1:19" ht="15" thickBot="1" x14ac:dyDescent="0.25">
      <c r="A88" s="138"/>
      <c r="B88" s="23" t="s">
        <v>78</v>
      </c>
      <c r="C88" s="23" t="s">
        <v>104</v>
      </c>
      <c r="D88" s="31" t="s">
        <v>122</v>
      </c>
      <c r="E88" s="31"/>
      <c r="F88" s="25"/>
      <c r="G88" s="25"/>
      <c r="H88" s="49">
        <v>8</v>
      </c>
      <c r="I88" s="48"/>
      <c r="J88" s="48">
        <v>4</v>
      </c>
      <c r="K88" s="48">
        <v>20</v>
      </c>
      <c r="L88" s="29">
        <f>(100/K88)*J88</f>
        <v>20</v>
      </c>
      <c r="M88" s="13">
        <f>L88*H88</f>
        <v>160</v>
      </c>
      <c r="N88" s="50"/>
      <c r="O88" s="50"/>
      <c r="P88" s="108"/>
      <c r="Q88" s="109"/>
      <c r="R88" s="109"/>
      <c r="S88" s="110"/>
    </row>
    <row r="89" spans="1:19" ht="15" x14ac:dyDescent="0.2">
      <c r="A89" s="27"/>
      <c r="B89" s="111" t="s">
        <v>21</v>
      </c>
      <c r="C89" s="111"/>
      <c r="D89" s="111"/>
      <c r="E89" s="55" t="s">
        <v>67</v>
      </c>
      <c r="F89" s="112" t="s">
        <v>22</v>
      </c>
      <c r="G89" s="112"/>
      <c r="H89" s="17"/>
      <c r="I89" s="113" t="s">
        <v>8</v>
      </c>
      <c r="J89" s="113"/>
      <c r="K89" s="113"/>
      <c r="L89" s="114"/>
      <c r="M89" s="36" t="s">
        <v>10</v>
      </c>
      <c r="N89" s="115" t="s">
        <v>15</v>
      </c>
      <c r="O89" s="114"/>
      <c r="P89" s="17" t="s">
        <v>11</v>
      </c>
      <c r="Q89" s="17" t="s">
        <v>12</v>
      </c>
      <c r="R89" s="18" t="s">
        <v>20</v>
      </c>
      <c r="S89" s="19"/>
    </row>
    <row r="90" spans="1:19" ht="15" thickBot="1" x14ac:dyDescent="0.25">
      <c r="A90" s="28"/>
      <c r="B90" s="116" t="s">
        <v>69</v>
      </c>
      <c r="C90" s="116"/>
      <c r="D90" s="116"/>
      <c r="E90" s="20"/>
      <c r="F90" s="117"/>
      <c r="G90" s="117"/>
      <c r="H90" s="52"/>
      <c r="I90" s="118"/>
      <c r="J90" s="118"/>
      <c r="K90" s="118"/>
      <c r="L90" s="119"/>
      <c r="M90" s="20">
        <f>SUM(H87:H88)</f>
        <v>16</v>
      </c>
      <c r="N90" s="120">
        <f>O87</f>
        <v>0</v>
      </c>
      <c r="O90" s="121"/>
      <c r="P90" s="5">
        <v>0</v>
      </c>
      <c r="Q90" s="5">
        <f>P90*N90</f>
        <v>0</v>
      </c>
      <c r="R90" s="5">
        <f>Q90*5</f>
        <v>0</v>
      </c>
      <c r="S90" s="22"/>
    </row>
    <row r="91" spans="1:19" ht="15" thickBot="1" x14ac:dyDescent="0.25">
      <c r="A91" s="81"/>
      <c r="B91" s="82"/>
      <c r="C91" s="82"/>
      <c r="D91" s="82"/>
      <c r="E91" s="82"/>
      <c r="F91" s="82"/>
      <c r="G91" s="82"/>
      <c r="H91" s="82"/>
      <c r="I91" s="83"/>
      <c r="J91" s="83"/>
      <c r="K91" s="83"/>
      <c r="L91" s="82"/>
      <c r="M91" s="82"/>
      <c r="N91" s="84"/>
      <c r="O91" s="82"/>
      <c r="P91" s="82"/>
      <c r="Q91" s="82"/>
      <c r="R91" s="82"/>
      <c r="S91" s="85"/>
    </row>
    <row r="92" spans="1:19" ht="45.75" thickBot="1" x14ac:dyDescent="0.25">
      <c r="A92" s="7" t="s">
        <v>0</v>
      </c>
      <c r="B92" s="8" t="s">
        <v>1</v>
      </c>
      <c r="C92" s="8" t="s">
        <v>9</v>
      </c>
      <c r="D92" s="8" t="s">
        <v>13</v>
      </c>
      <c r="E92" s="8" t="s">
        <v>29</v>
      </c>
      <c r="F92" s="8" t="s">
        <v>5</v>
      </c>
      <c r="G92" s="8" t="s">
        <v>6</v>
      </c>
      <c r="H92" s="8" t="s">
        <v>2</v>
      </c>
      <c r="I92" s="8" t="s">
        <v>179</v>
      </c>
      <c r="J92" s="8" t="s">
        <v>180</v>
      </c>
      <c r="K92" s="8" t="s">
        <v>56</v>
      </c>
      <c r="L92" s="8" t="s">
        <v>3</v>
      </c>
      <c r="M92" s="8" t="s">
        <v>4</v>
      </c>
      <c r="N92" s="9" t="s">
        <v>16</v>
      </c>
      <c r="O92" s="8" t="s">
        <v>26</v>
      </c>
      <c r="P92" s="132" t="s">
        <v>9</v>
      </c>
      <c r="Q92" s="133"/>
      <c r="R92" s="133"/>
      <c r="S92" s="134"/>
    </row>
    <row r="93" spans="1:19" x14ac:dyDescent="0.2">
      <c r="A93" s="103" t="s">
        <v>48</v>
      </c>
      <c r="B93" s="23"/>
      <c r="C93" s="23"/>
      <c r="D93" s="99">
        <v>43003</v>
      </c>
      <c r="E93" s="31"/>
      <c r="F93" s="25" t="s">
        <v>66</v>
      </c>
      <c r="G93" s="25" t="s">
        <v>148</v>
      </c>
      <c r="H93" s="49">
        <v>16</v>
      </c>
      <c r="I93" s="48"/>
      <c r="J93" s="48">
        <v>4</v>
      </c>
      <c r="K93" s="48">
        <v>5</v>
      </c>
      <c r="L93" s="29">
        <f>(100/K93)*J93</f>
        <v>80</v>
      </c>
      <c r="M93" s="13">
        <f>L93*H93</f>
        <v>1280</v>
      </c>
      <c r="N93" s="50"/>
      <c r="O93" s="50"/>
      <c r="P93" s="105" t="s">
        <v>186</v>
      </c>
      <c r="Q93" s="106"/>
      <c r="R93" s="106"/>
      <c r="S93" s="107"/>
    </row>
    <row r="94" spans="1:19" x14ac:dyDescent="0.2">
      <c r="A94" s="104"/>
      <c r="B94" s="23"/>
      <c r="C94" s="23"/>
      <c r="D94" s="99">
        <v>43024</v>
      </c>
      <c r="E94" s="99">
        <v>43031</v>
      </c>
      <c r="F94" s="25" t="s">
        <v>148</v>
      </c>
      <c r="G94" s="25" t="s">
        <v>116</v>
      </c>
      <c r="H94" s="49">
        <v>16</v>
      </c>
      <c r="I94" s="48"/>
      <c r="J94" s="48">
        <v>4</v>
      </c>
      <c r="K94" s="48">
        <v>5</v>
      </c>
      <c r="L94" s="29">
        <f t="shared" ref="L94:L97" si="13">(100/K94)*J94</f>
        <v>80</v>
      </c>
      <c r="M94" s="13">
        <f t="shared" ref="M94:M97" si="14">L94*H94</f>
        <v>1280</v>
      </c>
      <c r="N94" s="50"/>
      <c r="O94" s="50"/>
      <c r="P94" s="108"/>
      <c r="Q94" s="109"/>
      <c r="R94" s="109"/>
      <c r="S94" s="110"/>
    </row>
    <row r="95" spans="1:19" x14ac:dyDescent="0.2">
      <c r="A95" s="104"/>
      <c r="B95" s="23"/>
      <c r="C95" s="23"/>
      <c r="D95" s="31" t="s">
        <v>122</v>
      </c>
      <c r="E95" s="31"/>
      <c r="F95" s="25" t="s">
        <v>116</v>
      </c>
      <c r="G95" s="25" t="s">
        <v>126</v>
      </c>
      <c r="H95" s="49">
        <v>16</v>
      </c>
      <c r="I95" s="48"/>
      <c r="J95" s="48">
        <v>4</v>
      </c>
      <c r="K95" s="48">
        <v>5</v>
      </c>
      <c r="L95" s="29">
        <f t="shared" si="13"/>
        <v>80</v>
      </c>
      <c r="M95" s="13">
        <f t="shared" si="14"/>
        <v>1280</v>
      </c>
      <c r="N95" s="50"/>
      <c r="O95" s="50"/>
      <c r="P95" s="108"/>
      <c r="Q95" s="109"/>
      <c r="R95" s="109"/>
      <c r="S95" s="110"/>
    </row>
    <row r="96" spans="1:19" x14ac:dyDescent="0.2">
      <c r="A96" s="104"/>
      <c r="B96" s="23"/>
      <c r="C96" s="23"/>
      <c r="D96" s="31" t="s">
        <v>124</v>
      </c>
      <c r="E96" s="31"/>
      <c r="F96" s="25" t="s">
        <v>126</v>
      </c>
      <c r="G96" s="25" t="s">
        <v>127</v>
      </c>
      <c r="H96" s="49">
        <v>16</v>
      </c>
      <c r="I96" s="48"/>
      <c r="J96" s="48">
        <v>4</v>
      </c>
      <c r="K96" s="48">
        <v>5</v>
      </c>
      <c r="L96" s="29">
        <f t="shared" si="13"/>
        <v>80</v>
      </c>
      <c r="M96" s="13">
        <f t="shared" si="14"/>
        <v>1280</v>
      </c>
      <c r="N96" s="50"/>
      <c r="O96" s="50"/>
      <c r="P96" s="108"/>
      <c r="Q96" s="109"/>
      <c r="R96" s="109"/>
      <c r="S96" s="110"/>
    </row>
    <row r="97" spans="1:19" ht="15" thickBot="1" x14ac:dyDescent="0.25">
      <c r="A97" s="104"/>
      <c r="B97" s="23"/>
      <c r="C97" s="23"/>
      <c r="D97" s="31" t="s">
        <v>148</v>
      </c>
      <c r="E97" s="31"/>
      <c r="F97" s="25" t="s">
        <v>127</v>
      </c>
      <c r="G97" s="25" t="s">
        <v>147</v>
      </c>
      <c r="H97" s="49">
        <v>16</v>
      </c>
      <c r="I97" s="48"/>
      <c r="J97" s="48">
        <v>4</v>
      </c>
      <c r="K97" s="48">
        <v>5</v>
      </c>
      <c r="L97" s="29">
        <f t="shared" si="13"/>
        <v>80</v>
      </c>
      <c r="M97" s="13">
        <f t="shared" si="14"/>
        <v>1280</v>
      </c>
      <c r="N97" s="50"/>
      <c r="O97" s="50"/>
      <c r="P97" s="108"/>
      <c r="Q97" s="109"/>
      <c r="R97" s="109"/>
      <c r="S97" s="110"/>
    </row>
    <row r="98" spans="1:19" ht="15" x14ac:dyDescent="0.2">
      <c r="A98" s="27"/>
      <c r="B98" s="111" t="s">
        <v>21</v>
      </c>
      <c r="C98" s="111"/>
      <c r="D98" s="111"/>
      <c r="E98" s="55" t="s">
        <v>67</v>
      </c>
      <c r="F98" s="112" t="s">
        <v>22</v>
      </c>
      <c r="G98" s="112"/>
      <c r="H98" s="17"/>
      <c r="I98" s="113" t="s">
        <v>8</v>
      </c>
      <c r="J98" s="113"/>
      <c r="K98" s="113"/>
      <c r="L98" s="114"/>
      <c r="M98" s="36" t="s">
        <v>10</v>
      </c>
      <c r="N98" s="115" t="s">
        <v>15</v>
      </c>
      <c r="O98" s="114"/>
      <c r="P98" s="17" t="s">
        <v>11</v>
      </c>
      <c r="Q98" s="17" t="s">
        <v>12</v>
      </c>
      <c r="R98" s="18" t="s">
        <v>20</v>
      </c>
      <c r="S98" s="19"/>
    </row>
    <row r="99" spans="1:19" ht="15" thickBot="1" x14ac:dyDescent="0.25">
      <c r="A99" s="28"/>
      <c r="B99" s="116" t="s">
        <v>150</v>
      </c>
      <c r="C99" s="116"/>
      <c r="D99" s="116"/>
      <c r="E99" s="87" t="s">
        <v>149</v>
      </c>
      <c r="F99" s="151" t="s">
        <v>23</v>
      </c>
      <c r="G99" s="119"/>
      <c r="H99" s="52"/>
      <c r="I99" s="118"/>
      <c r="J99" s="118"/>
      <c r="K99" s="118"/>
      <c r="L99" s="119"/>
      <c r="M99" s="20">
        <f>SUM(H93:H97)</f>
        <v>80</v>
      </c>
      <c r="N99" s="120">
        <f>O93</f>
        <v>0</v>
      </c>
      <c r="O99" s="121"/>
      <c r="P99" s="5">
        <v>0</v>
      </c>
      <c r="Q99" s="5">
        <f>P99*N99</f>
        <v>0</v>
      </c>
      <c r="R99" s="5">
        <f>Q99*5</f>
        <v>0</v>
      </c>
      <c r="S99" s="22"/>
    </row>
    <row r="100" spans="1:19" ht="15" thickBot="1" x14ac:dyDescent="0.25">
      <c r="A100" s="81"/>
      <c r="B100" s="82"/>
      <c r="C100" s="82"/>
      <c r="D100" s="82"/>
      <c r="E100" s="82"/>
      <c r="F100" s="82"/>
      <c r="G100" s="82"/>
      <c r="H100" s="82"/>
      <c r="I100" s="83"/>
      <c r="J100" s="83"/>
      <c r="K100" s="83"/>
      <c r="L100" s="82"/>
      <c r="M100" s="82"/>
      <c r="N100" s="84"/>
      <c r="O100" s="82"/>
      <c r="P100" s="82"/>
      <c r="Q100" s="82"/>
      <c r="R100" s="82"/>
      <c r="S100" s="85"/>
    </row>
    <row r="101" spans="1:19" ht="45.75" thickBot="1" x14ac:dyDescent="0.25">
      <c r="A101" s="7" t="s">
        <v>0</v>
      </c>
      <c r="B101" s="8" t="s">
        <v>1</v>
      </c>
      <c r="C101" s="8" t="s">
        <v>9</v>
      </c>
      <c r="D101" s="8" t="s">
        <v>13</v>
      </c>
      <c r="E101" s="8" t="s">
        <v>29</v>
      </c>
      <c r="F101" s="8" t="s">
        <v>5</v>
      </c>
      <c r="G101" s="8" t="s">
        <v>6</v>
      </c>
      <c r="H101" s="8" t="s">
        <v>2</v>
      </c>
      <c r="I101" s="8" t="s">
        <v>179</v>
      </c>
      <c r="J101" s="8" t="s">
        <v>180</v>
      </c>
      <c r="K101" s="8" t="s">
        <v>56</v>
      </c>
      <c r="L101" s="8" t="s">
        <v>3</v>
      </c>
      <c r="M101" s="8" t="s">
        <v>4</v>
      </c>
      <c r="N101" s="9" t="s">
        <v>16</v>
      </c>
      <c r="O101" s="8" t="s">
        <v>26</v>
      </c>
      <c r="P101" s="132" t="s">
        <v>9</v>
      </c>
      <c r="Q101" s="133"/>
      <c r="R101" s="133"/>
      <c r="S101" s="134"/>
    </row>
    <row r="102" spans="1:19" x14ac:dyDescent="0.2">
      <c r="A102" s="103" t="s">
        <v>32</v>
      </c>
      <c r="B102" s="23" t="s">
        <v>108</v>
      </c>
      <c r="C102" s="23"/>
      <c r="D102" s="99">
        <v>43003</v>
      </c>
      <c r="E102" s="31"/>
      <c r="F102" s="25" t="s">
        <v>122</v>
      </c>
      <c r="G102" s="25" t="s">
        <v>153</v>
      </c>
      <c r="H102" s="49">
        <v>16</v>
      </c>
      <c r="I102" s="48"/>
      <c r="J102" s="48">
        <v>4</v>
      </c>
      <c r="K102" s="48">
        <v>20</v>
      </c>
      <c r="L102" s="29">
        <f>(100/K102)*J102</f>
        <v>20</v>
      </c>
      <c r="M102" s="13">
        <f>L102*H102</f>
        <v>320</v>
      </c>
      <c r="N102" s="50"/>
      <c r="O102" s="50"/>
      <c r="P102" s="105" t="s">
        <v>151</v>
      </c>
      <c r="Q102" s="106"/>
      <c r="R102" s="106"/>
      <c r="S102" s="107"/>
    </row>
    <row r="103" spans="1:19" x14ac:dyDescent="0.2">
      <c r="A103" s="104"/>
      <c r="B103" s="23" t="s">
        <v>108</v>
      </c>
      <c r="C103" s="23" t="s">
        <v>183</v>
      </c>
      <c r="D103" s="99">
        <v>43024</v>
      </c>
      <c r="E103" s="31"/>
      <c r="F103" s="25" t="s">
        <v>153</v>
      </c>
      <c r="G103" s="25" t="s">
        <v>148</v>
      </c>
      <c r="H103" s="49">
        <v>16</v>
      </c>
      <c r="I103" s="48"/>
      <c r="J103" s="48">
        <v>4</v>
      </c>
      <c r="K103" s="48">
        <v>5</v>
      </c>
      <c r="L103" s="29">
        <f t="shared" ref="L103:L106" si="15">(100/K103)*J103</f>
        <v>80</v>
      </c>
      <c r="M103" s="13">
        <f t="shared" ref="M103:M106" si="16">L103*H103</f>
        <v>1280</v>
      </c>
      <c r="N103" s="50"/>
      <c r="O103" s="50"/>
      <c r="P103" s="108"/>
      <c r="Q103" s="109"/>
      <c r="R103" s="109"/>
      <c r="S103" s="110"/>
    </row>
    <row r="104" spans="1:19" x14ac:dyDescent="0.2">
      <c r="A104" s="104"/>
      <c r="B104" s="23" t="s">
        <v>108</v>
      </c>
      <c r="C104" s="23"/>
      <c r="D104" s="31" t="s">
        <v>122</v>
      </c>
      <c r="E104" s="31"/>
      <c r="F104" s="25" t="s">
        <v>148</v>
      </c>
      <c r="G104" s="25" t="s">
        <v>116</v>
      </c>
      <c r="H104" s="49">
        <v>16</v>
      </c>
      <c r="I104" s="48"/>
      <c r="J104" s="48">
        <v>4</v>
      </c>
      <c r="K104" s="48">
        <v>20</v>
      </c>
      <c r="L104" s="29">
        <f t="shared" si="15"/>
        <v>20</v>
      </c>
      <c r="M104" s="13">
        <f t="shared" si="16"/>
        <v>320</v>
      </c>
      <c r="N104" s="50"/>
      <c r="O104" s="50"/>
      <c r="P104" s="108"/>
      <c r="Q104" s="109"/>
      <c r="R104" s="109"/>
      <c r="S104" s="110"/>
    </row>
    <row r="105" spans="1:19" x14ac:dyDescent="0.2">
      <c r="A105" s="104"/>
      <c r="B105" s="23" t="s">
        <v>152</v>
      </c>
      <c r="C105" s="23"/>
      <c r="D105" s="31" t="s">
        <v>124</v>
      </c>
      <c r="E105" s="31"/>
      <c r="F105" s="25" t="s">
        <v>116</v>
      </c>
      <c r="G105" s="25" t="s">
        <v>126</v>
      </c>
      <c r="H105" s="49">
        <v>16</v>
      </c>
      <c r="I105" s="48"/>
      <c r="J105" s="48">
        <v>4</v>
      </c>
      <c r="K105" s="48">
        <v>5</v>
      </c>
      <c r="L105" s="29">
        <f t="shared" si="15"/>
        <v>80</v>
      </c>
      <c r="M105" s="13">
        <f t="shared" si="16"/>
        <v>1280</v>
      </c>
      <c r="N105" s="50"/>
      <c r="O105" s="50"/>
      <c r="P105" s="108"/>
      <c r="Q105" s="109"/>
      <c r="R105" s="109"/>
      <c r="S105" s="110"/>
    </row>
    <row r="106" spans="1:19" ht="15" thickBot="1" x14ac:dyDescent="0.25">
      <c r="A106" s="104"/>
      <c r="B106" s="23" t="s">
        <v>108</v>
      </c>
      <c r="C106" s="23"/>
      <c r="D106" s="31" t="s">
        <v>148</v>
      </c>
      <c r="E106" s="31"/>
      <c r="F106" s="25" t="s">
        <v>126</v>
      </c>
      <c r="G106" s="25" t="s">
        <v>127</v>
      </c>
      <c r="H106" s="49">
        <v>16</v>
      </c>
      <c r="I106" s="48"/>
      <c r="J106" s="48">
        <v>4</v>
      </c>
      <c r="K106" s="48">
        <v>20</v>
      </c>
      <c r="L106" s="29">
        <f t="shared" si="15"/>
        <v>20</v>
      </c>
      <c r="M106" s="13">
        <f t="shared" si="16"/>
        <v>320</v>
      </c>
      <c r="N106" s="50"/>
      <c r="O106" s="50"/>
      <c r="P106" s="108"/>
      <c r="Q106" s="109"/>
      <c r="R106" s="109"/>
      <c r="S106" s="110"/>
    </row>
    <row r="107" spans="1:19" ht="15" x14ac:dyDescent="0.2">
      <c r="A107" s="27"/>
      <c r="B107" s="111" t="s">
        <v>21</v>
      </c>
      <c r="C107" s="111"/>
      <c r="D107" s="111"/>
      <c r="E107" s="89" t="s">
        <v>67</v>
      </c>
      <c r="F107" s="112" t="s">
        <v>22</v>
      </c>
      <c r="G107" s="112"/>
      <c r="H107" s="17"/>
      <c r="I107" s="113" t="s">
        <v>8</v>
      </c>
      <c r="J107" s="113"/>
      <c r="K107" s="113"/>
      <c r="L107" s="114"/>
      <c r="M107" s="36" t="s">
        <v>10</v>
      </c>
      <c r="N107" s="115" t="s">
        <v>15</v>
      </c>
      <c r="O107" s="114"/>
      <c r="P107" s="17" t="s">
        <v>11</v>
      </c>
      <c r="Q107" s="17" t="s">
        <v>12</v>
      </c>
      <c r="R107" s="18" t="s">
        <v>20</v>
      </c>
      <c r="S107" s="19"/>
    </row>
    <row r="108" spans="1:19" ht="15" thickBot="1" x14ac:dyDescent="0.25">
      <c r="A108" s="28"/>
      <c r="B108" s="116" t="s">
        <v>61</v>
      </c>
      <c r="C108" s="116"/>
      <c r="D108" s="116"/>
      <c r="E108" s="20" t="s">
        <v>105</v>
      </c>
      <c r="F108" s="117" t="s">
        <v>23</v>
      </c>
      <c r="G108" s="117"/>
      <c r="H108" s="52"/>
      <c r="I108" s="118"/>
      <c r="J108" s="118"/>
      <c r="K108" s="118"/>
      <c r="L108" s="119"/>
      <c r="M108" s="20"/>
      <c r="N108" s="120"/>
      <c r="O108" s="121"/>
      <c r="P108" s="5">
        <v>0</v>
      </c>
      <c r="Q108" s="5">
        <f>P108*N108</f>
        <v>0</v>
      </c>
      <c r="R108" s="5">
        <f>Q108*5</f>
        <v>0</v>
      </c>
      <c r="S108" s="22"/>
    </row>
    <row r="109" spans="1:19" ht="15" thickBot="1" x14ac:dyDescent="0.25">
      <c r="A109" s="81"/>
      <c r="B109" s="82"/>
      <c r="C109" s="82"/>
      <c r="D109" s="82"/>
      <c r="E109" s="82"/>
      <c r="F109" s="82"/>
      <c r="G109" s="82"/>
      <c r="H109" s="82"/>
      <c r="I109" s="83"/>
      <c r="J109" s="83"/>
      <c r="K109" s="83"/>
      <c r="L109" s="82"/>
      <c r="M109" s="82"/>
      <c r="N109" s="84"/>
      <c r="O109" s="82"/>
      <c r="P109" s="82"/>
      <c r="Q109" s="82"/>
      <c r="R109" s="82"/>
      <c r="S109" s="85"/>
    </row>
    <row r="110" spans="1:19" ht="45.75" thickBot="1" x14ac:dyDescent="0.25">
      <c r="A110" s="7" t="s">
        <v>0</v>
      </c>
      <c r="B110" s="8" t="s">
        <v>1</v>
      </c>
      <c r="C110" s="8" t="s">
        <v>9</v>
      </c>
      <c r="D110" s="8" t="s">
        <v>31</v>
      </c>
      <c r="E110" s="8" t="s">
        <v>29</v>
      </c>
      <c r="F110" s="8" t="s">
        <v>5</v>
      </c>
      <c r="G110" s="8" t="s">
        <v>6</v>
      </c>
      <c r="H110" s="8" t="s">
        <v>2</v>
      </c>
      <c r="I110" s="8" t="s">
        <v>179</v>
      </c>
      <c r="J110" s="8" t="s">
        <v>180</v>
      </c>
      <c r="K110" s="8" t="s">
        <v>56</v>
      </c>
      <c r="L110" s="8" t="s">
        <v>3</v>
      </c>
      <c r="M110" s="8" t="s">
        <v>4</v>
      </c>
      <c r="N110" s="9" t="s">
        <v>16</v>
      </c>
      <c r="O110" s="8" t="s">
        <v>14</v>
      </c>
      <c r="P110" s="132" t="s">
        <v>9</v>
      </c>
      <c r="Q110" s="133"/>
      <c r="R110" s="133"/>
      <c r="S110" s="134"/>
    </row>
    <row r="111" spans="1:19" x14ac:dyDescent="0.2">
      <c r="A111" s="103" t="s">
        <v>36</v>
      </c>
      <c r="B111" s="23" t="s">
        <v>37</v>
      </c>
      <c r="C111" s="23" t="s">
        <v>105</v>
      </c>
      <c r="D111" s="99">
        <v>43003</v>
      </c>
      <c r="E111" s="31"/>
      <c r="F111" s="25" t="s">
        <v>33</v>
      </c>
      <c r="G111" s="25" t="s">
        <v>34</v>
      </c>
      <c r="H111" s="49">
        <v>16</v>
      </c>
      <c r="I111" s="48" t="s">
        <v>38</v>
      </c>
      <c r="J111" s="48"/>
      <c r="K111" s="48"/>
      <c r="L111" s="29"/>
      <c r="M111" s="50"/>
      <c r="N111" s="50"/>
      <c r="O111" s="50"/>
      <c r="P111" s="105" t="s">
        <v>154</v>
      </c>
      <c r="Q111" s="106"/>
      <c r="R111" s="106"/>
      <c r="S111" s="107"/>
    </row>
    <row r="112" spans="1:19" x14ac:dyDescent="0.2">
      <c r="A112" s="104"/>
      <c r="B112" s="23" t="s">
        <v>37</v>
      </c>
      <c r="C112" s="23" t="s">
        <v>105</v>
      </c>
      <c r="D112" s="1" t="s">
        <v>35</v>
      </c>
      <c r="E112" s="31"/>
      <c r="F112" s="25"/>
      <c r="G112" s="25"/>
      <c r="H112" s="49"/>
      <c r="I112" s="48"/>
      <c r="J112" s="48"/>
      <c r="K112" s="48"/>
      <c r="L112" s="29"/>
      <c r="M112" s="50"/>
      <c r="N112" s="50"/>
      <c r="O112" s="50"/>
      <c r="P112" s="108"/>
      <c r="Q112" s="109"/>
      <c r="R112" s="109"/>
      <c r="S112" s="110"/>
    </row>
    <row r="113" spans="1:19" x14ac:dyDescent="0.2">
      <c r="A113" s="104"/>
      <c r="B113" s="23" t="s">
        <v>111</v>
      </c>
      <c r="C113" s="23" t="s">
        <v>112</v>
      </c>
      <c r="E113" s="24"/>
      <c r="F113" s="25"/>
      <c r="G113" s="25"/>
      <c r="H113" s="25"/>
      <c r="I113" s="26"/>
      <c r="J113" s="26"/>
      <c r="K113" s="26"/>
      <c r="L113" s="29"/>
      <c r="M113" s="50"/>
      <c r="N113" s="50"/>
      <c r="O113" s="30"/>
      <c r="P113" s="108"/>
      <c r="Q113" s="109"/>
      <c r="R113" s="109"/>
      <c r="S113" s="110"/>
    </row>
    <row r="114" spans="1:19" x14ac:dyDescent="0.2">
      <c r="A114" s="104"/>
      <c r="B114" s="23" t="s">
        <v>155</v>
      </c>
      <c r="D114" s="23" t="s">
        <v>156</v>
      </c>
      <c r="E114" s="24"/>
      <c r="F114" s="42"/>
      <c r="G114" s="25"/>
      <c r="H114" s="25"/>
      <c r="I114" s="26"/>
      <c r="J114" s="26"/>
      <c r="K114" s="26"/>
      <c r="L114" s="29"/>
      <c r="M114" s="50"/>
      <c r="N114" s="50"/>
      <c r="O114" s="30"/>
      <c r="P114" s="108"/>
      <c r="Q114" s="109"/>
      <c r="R114" s="109"/>
      <c r="S114" s="110"/>
    </row>
    <row r="115" spans="1:19" ht="15" thickBot="1" x14ac:dyDescent="0.25">
      <c r="A115" s="104"/>
      <c r="B115" s="23" t="s">
        <v>114</v>
      </c>
      <c r="C115" s="23" t="s">
        <v>157</v>
      </c>
      <c r="D115" s="98">
        <v>43003</v>
      </c>
      <c r="E115" s="98">
        <v>43024</v>
      </c>
      <c r="F115" s="25"/>
      <c r="G115" s="25"/>
      <c r="H115" s="25"/>
      <c r="I115" s="26"/>
      <c r="J115" s="26"/>
      <c r="K115" s="26"/>
      <c r="L115" s="35"/>
      <c r="M115" s="30"/>
      <c r="N115" s="30"/>
      <c r="O115" s="30"/>
      <c r="P115" s="108"/>
      <c r="Q115" s="109"/>
      <c r="R115" s="109"/>
      <c r="S115" s="110"/>
    </row>
    <row r="116" spans="1:19" ht="15" x14ac:dyDescent="0.2">
      <c r="A116" s="27"/>
      <c r="B116" s="111" t="s">
        <v>21</v>
      </c>
      <c r="C116" s="111"/>
      <c r="D116" s="111"/>
      <c r="E116" s="89" t="s">
        <v>67</v>
      </c>
      <c r="F116" s="112" t="s">
        <v>22</v>
      </c>
      <c r="G116" s="112"/>
      <c r="H116" s="17"/>
      <c r="I116" s="113" t="s">
        <v>8</v>
      </c>
      <c r="J116" s="113"/>
      <c r="K116" s="113"/>
      <c r="L116" s="114"/>
      <c r="M116" s="36" t="s">
        <v>10</v>
      </c>
      <c r="N116" s="115" t="s">
        <v>15</v>
      </c>
      <c r="O116" s="114"/>
      <c r="P116" s="17" t="s">
        <v>11</v>
      </c>
      <c r="Q116" s="17" t="s">
        <v>12</v>
      </c>
      <c r="R116" s="18" t="s">
        <v>20</v>
      </c>
      <c r="S116" s="19"/>
    </row>
    <row r="117" spans="1:19" ht="15" thickBot="1" x14ac:dyDescent="0.25">
      <c r="A117" s="28"/>
      <c r="B117" s="116"/>
      <c r="C117" s="116"/>
      <c r="D117" s="116"/>
      <c r="E117" s="20" t="s">
        <v>105</v>
      </c>
      <c r="F117" s="117" t="s">
        <v>160</v>
      </c>
      <c r="G117" s="117"/>
      <c r="H117" s="52"/>
      <c r="I117" s="118"/>
      <c r="J117" s="118"/>
      <c r="K117" s="118"/>
      <c r="L117" s="119"/>
      <c r="M117" s="20">
        <f>SUM(H111:H115)</f>
        <v>16</v>
      </c>
      <c r="N117" s="120">
        <f>O111</f>
        <v>0</v>
      </c>
      <c r="O117" s="121"/>
      <c r="P117" s="5">
        <v>0</v>
      </c>
      <c r="Q117" s="5">
        <f>P117*N117</f>
        <v>0</v>
      </c>
      <c r="R117" s="5">
        <f>Q117*5</f>
        <v>0</v>
      </c>
      <c r="S117" s="22"/>
    </row>
    <row r="118" spans="1:19" ht="15" thickBot="1" x14ac:dyDescent="0.25">
      <c r="A118" s="81"/>
      <c r="B118" s="82"/>
      <c r="C118" s="82"/>
      <c r="D118" s="82"/>
      <c r="E118" s="82"/>
      <c r="F118" s="82"/>
      <c r="G118" s="82"/>
      <c r="H118" s="82"/>
      <c r="I118" s="83"/>
      <c r="J118" s="83"/>
      <c r="K118" s="83"/>
      <c r="L118" s="82"/>
      <c r="M118" s="82"/>
      <c r="N118" s="84"/>
      <c r="O118" s="82"/>
      <c r="P118" s="82"/>
      <c r="Q118" s="82"/>
      <c r="R118" s="82"/>
      <c r="S118" s="85"/>
    </row>
    <row r="119" spans="1:19" ht="45.75" thickBot="1" x14ac:dyDescent="0.25">
      <c r="A119" s="7" t="s">
        <v>0</v>
      </c>
      <c r="B119" s="8" t="s">
        <v>1</v>
      </c>
      <c r="C119" s="8" t="s">
        <v>9</v>
      </c>
      <c r="D119" s="8" t="s">
        <v>31</v>
      </c>
      <c r="E119" s="8" t="s">
        <v>29</v>
      </c>
      <c r="F119" s="8" t="s">
        <v>5</v>
      </c>
      <c r="G119" s="8" t="s">
        <v>6</v>
      </c>
      <c r="H119" s="8" t="s">
        <v>2</v>
      </c>
      <c r="I119" s="8" t="s">
        <v>179</v>
      </c>
      <c r="J119" s="8" t="s">
        <v>180</v>
      </c>
      <c r="K119" s="8" t="s">
        <v>56</v>
      </c>
      <c r="L119" s="8" t="s">
        <v>3</v>
      </c>
      <c r="M119" s="8" t="s">
        <v>4</v>
      </c>
      <c r="N119" s="9" t="s">
        <v>16</v>
      </c>
      <c r="O119" s="8" t="s">
        <v>14</v>
      </c>
      <c r="P119" s="132" t="s">
        <v>9</v>
      </c>
      <c r="Q119" s="133"/>
      <c r="R119" s="133"/>
      <c r="S119" s="134"/>
    </row>
    <row r="120" spans="1:19" x14ac:dyDescent="0.2">
      <c r="A120" s="103" t="s">
        <v>24</v>
      </c>
      <c r="B120" s="23" t="s">
        <v>79</v>
      </c>
      <c r="C120" s="23"/>
      <c r="D120" s="99">
        <v>43031</v>
      </c>
      <c r="E120" s="31"/>
      <c r="F120" s="25"/>
      <c r="G120" s="25"/>
      <c r="H120" s="49">
        <v>16</v>
      </c>
      <c r="I120" s="48"/>
      <c r="J120" s="48">
        <v>3</v>
      </c>
      <c r="K120" s="48">
        <v>30</v>
      </c>
      <c r="L120" s="29">
        <f>(100/K120)*J120</f>
        <v>10</v>
      </c>
      <c r="M120" s="13">
        <f>L120*H120</f>
        <v>160</v>
      </c>
      <c r="N120" s="50"/>
      <c r="O120" s="50"/>
      <c r="P120" s="105"/>
      <c r="Q120" s="106"/>
      <c r="R120" s="106"/>
      <c r="S120" s="107"/>
    </row>
    <row r="121" spans="1:19" x14ac:dyDescent="0.2">
      <c r="A121" s="104"/>
      <c r="B121" s="23"/>
      <c r="C121" s="23"/>
      <c r="D121" s="31"/>
      <c r="E121" s="31"/>
      <c r="F121" s="25"/>
      <c r="G121" s="25"/>
      <c r="H121" s="49"/>
      <c r="I121" s="48"/>
      <c r="J121" s="48"/>
      <c r="K121" s="48"/>
      <c r="L121" s="29"/>
      <c r="M121" s="50"/>
      <c r="N121" s="50"/>
      <c r="O121" s="50"/>
      <c r="P121" s="108"/>
      <c r="Q121" s="109"/>
      <c r="R121" s="109"/>
      <c r="S121" s="110"/>
    </row>
    <row r="122" spans="1:19" x14ac:dyDescent="0.2">
      <c r="A122" s="104"/>
      <c r="B122" s="23"/>
      <c r="C122" s="23"/>
      <c r="D122" s="24"/>
      <c r="E122" s="24"/>
      <c r="F122" s="25"/>
      <c r="G122" s="25"/>
      <c r="H122" s="25"/>
      <c r="I122" s="26"/>
      <c r="J122" s="26"/>
      <c r="K122" s="26"/>
      <c r="L122" s="29"/>
      <c r="M122" s="50"/>
      <c r="N122" s="50"/>
      <c r="O122" s="30"/>
      <c r="P122" s="108"/>
      <c r="Q122" s="109"/>
      <c r="R122" s="109"/>
      <c r="S122" s="110"/>
    </row>
    <row r="123" spans="1:19" x14ac:dyDescent="0.2">
      <c r="A123" s="104"/>
      <c r="B123" s="23"/>
      <c r="C123" s="23"/>
      <c r="D123" s="24"/>
      <c r="E123" s="24"/>
      <c r="F123" s="42"/>
      <c r="G123" s="25"/>
      <c r="H123" s="25"/>
      <c r="I123" s="26"/>
      <c r="J123" s="26"/>
      <c r="K123" s="26"/>
      <c r="L123" s="29"/>
      <c r="M123" s="50"/>
      <c r="N123" s="50"/>
      <c r="O123" s="30"/>
      <c r="P123" s="108"/>
      <c r="Q123" s="109"/>
      <c r="R123" s="109"/>
      <c r="S123" s="110"/>
    </row>
    <row r="124" spans="1:19" ht="15" thickBot="1" x14ac:dyDescent="0.25">
      <c r="A124" s="104"/>
      <c r="B124" s="23"/>
      <c r="C124" s="23"/>
      <c r="D124" s="24"/>
      <c r="E124" s="24"/>
      <c r="F124" s="25"/>
      <c r="G124" s="25"/>
      <c r="H124" s="25"/>
      <c r="I124" s="26"/>
      <c r="J124" s="26"/>
      <c r="K124" s="26"/>
      <c r="L124" s="35"/>
      <c r="M124" s="30"/>
      <c r="N124" s="30"/>
      <c r="O124" s="30"/>
      <c r="P124" s="108"/>
      <c r="Q124" s="109"/>
      <c r="R124" s="109"/>
      <c r="S124" s="110"/>
    </row>
    <row r="125" spans="1:19" ht="15" x14ac:dyDescent="0.2">
      <c r="A125" s="27"/>
      <c r="B125" s="111" t="s">
        <v>21</v>
      </c>
      <c r="C125" s="111"/>
      <c r="D125" s="111"/>
      <c r="E125" s="89" t="s">
        <v>67</v>
      </c>
      <c r="F125" s="112" t="s">
        <v>22</v>
      </c>
      <c r="G125" s="112"/>
      <c r="H125" s="17"/>
      <c r="I125" s="113" t="s">
        <v>8</v>
      </c>
      <c r="J125" s="113"/>
      <c r="K125" s="113"/>
      <c r="L125" s="114"/>
      <c r="M125" s="36" t="s">
        <v>10</v>
      </c>
      <c r="N125" s="115" t="s">
        <v>15</v>
      </c>
      <c r="O125" s="114"/>
      <c r="P125" s="17" t="s">
        <v>11</v>
      </c>
      <c r="Q125" s="17" t="s">
        <v>12</v>
      </c>
      <c r="R125" s="64" t="s">
        <v>20</v>
      </c>
      <c r="S125" s="19"/>
    </row>
    <row r="126" spans="1:19" ht="15" thickBot="1" x14ac:dyDescent="0.25">
      <c r="A126" s="28"/>
      <c r="B126" s="116" t="s">
        <v>85</v>
      </c>
      <c r="C126" s="116"/>
      <c r="D126" s="116"/>
      <c r="E126" s="91" t="s">
        <v>159</v>
      </c>
      <c r="F126" s="117" t="s">
        <v>161</v>
      </c>
      <c r="G126" s="117"/>
      <c r="H126" s="52"/>
      <c r="I126" s="118"/>
      <c r="J126" s="118"/>
      <c r="K126" s="118"/>
      <c r="L126" s="119"/>
      <c r="M126" s="65">
        <f>SUM(H120:H124)</f>
        <v>16</v>
      </c>
      <c r="N126" s="120">
        <f>O120</f>
        <v>0</v>
      </c>
      <c r="O126" s="121"/>
      <c r="P126" s="66">
        <v>0</v>
      </c>
      <c r="Q126" s="66">
        <f>P126*N126</f>
        <v>0</v>
      </c>
      <c r="R126" s="66">
        <f>Q126*5</f>
        <v>0</v>
      </c>
      <c r="S126" s="22"/>
    </row>
    <row r="127" spans="1:19" ht="15" thickBot="1" x14ac:dyDescent="0.25">
      <c r="A127" s="81"/>
      <c r="B127" s="82"/>
      <c r="C127" s="82"/>
      <c r="D127" s="82"/>
      <c r="E127" s="82"/>
      <c r="F127" s="82"/>
      <c r="G127" s="82"/>
      <c r="H127" s="82"/>
      <c r="I127" s="83"/>
      <c r="J127" s="83"/>
      <c r="K127" s="83"/>
      <c r="L127" s="82"/>
      <c r="M127" s="82"/>
      <c r="N127" s="84"/>
      <c r="O127" s="82"/>
      <c r="P127" s="82"/>
      <c r="Q127" s="82"/>
      <c r="R127" s="82"/>
      <c r="S127" s="85"/>
    </row>
    <row r="128" spans="1:19" ht="45.75" thickBot="1" x14ac:dyDescent="0.25">
      <c r="A128" s="7" t="s">
        <v>0</v>
      </c>
      <c r="B128" s="8" t="s">
        <v>1</v>
      </c>
      <c r="C128" s="8" t="s">
        <v>9</v>
      </c>
      <c r="D128" s="8" t="s">
        <v>13</v>
      </c>
      <c r="E128" s="8" t="s">
        <v>29</v>
      </c>
      <c r="F128" s="8" t="s">
        <v>5</v>
      </c>
      <c r="G128" s="8" t="s">
        <v>6</v>
      </c>
      <c r="H128" s="8" t="s">
        <v>2</v>
      </c>
      <c r="I128" s="8" t="s">
        <v>179</v>
      </c>
      <c r="J128" s="8" t="s">
        <v>180</v>
      </c>
      <c r="K128" s="8" t="s">
        <v>56</v>
      </c>
      <c r="L128" s="8" t="s">
        <v>3</v>
      </c>
      <c r="M128" s="8" t="s">
        <v>4</v>
      </c>
      <c r="N128" s="9" t="s">
        <v>16</v>
      </c>
      <c r="O128" s="8" t="s">
        <v>14</v>
      </c>
      <c r="P128" s="132" t="s">
        <v>9</v>
      </c>
      <c r="Q128" s="133"/>
      <c r="R128" s="133"/>
      <c r="S128" s="134"/>
    </row>
    <row r="129" spans="1:19" ht="14.25" customHeight="1" x14ac:dyDescent="0.2">
      <c r="A129" s="103" t="s">
        <v>49</v>
      </c>
      <c r="B129" s="23" t="s">
        <v>158</v>
      </c>
      <c r="C129" s="23"/>
      <c r="D129" s="31" t="s">
        <v>184</v>
      </c>
      <c r="E129" s="31"/>
      <c r="F129" s="25"/>
      <c r="G129" s="25"/>
      <c r="H129" s="49">
        <v>16</v>
      </c>
      <c r="I129" s="48"/>
      <c r="J129" s="48">
        <v>3</v>
      </c>
      <c r="K129" s="48">
        <v>30</v>
      </c>
      <c r="L129" s="29">
        <f>(100/K129)*J129</f>
        <v>10</v>
      </c>
      <c r="M129" s="50">
        <f>L129*H129</f>
        <v>160</v>
      </c>
      <c r="N129" s="50"/>
      <c r="O129" s="50"/>
      <c r="P129" s="105"/>
      <c r="Q129" s="106"/>
      <c r="R129" s="106"/>
      <c r="S129" s="107"/>
    </row>
    <row r="130" spans="1:19" ht="14.25" customHeight="1" thickBot="1" x14ac:dyDescent="0.25">
      <c r="A130" s="104"/>
      <c r="B130" s="23"/>
      <c r="C130" s="23"/>
      <c r="D130" s="31"/>
      <c r="E130" s="31"/>
      <c r="F130" s="25"/>
      <c r="G130" s="25"/>
      <c r="H130" s="49"/>
      <c r="I130" s="48"/>
      <c r="J130" s="48"/>
      <c r="K130" s="48"/>
      <c r="L130" s="29"/>
      <c r="M130" s="50"/>
      <c r="N130" s="50"/>
      <c r="O130" s="50"/>
      <c r="P130" s="108"/>
      <c r="Q130" s="109"/>
      <c r="R130" s="109"/>
      <c r="S130" s="110"/>
    </row>
    <row r="131" spans="1:19" ht="15" x14ac:dyDescent="0.2">
      <c r="A131" s="27"/>
      <c r="B131" s="111" t="s">
        <v>21</v>
      </c>
      <c r="C131" s="111"/>
      <c r="D131" s="111"/>
      <c r="E131" s="89" t="s">
        <v>67</v>
      </c>
      <c r="F131" s="112" t="s">
        <v>22</v>
      </c>
      <c r="G131" s="112"/>
      <c r="H131" s="17"/>
      <c r="I131" s="113" t="s">
        <v>8</v>
      </c>
      <c r="J131" s="113"/>
      <c r="K131" s="113"/>
      <c r="L131" s="114"/>
      <c r="M131" s="36" t="s">
        <v>10</v>
      </c>
      <c r="N131" s="115" t="s">
        <v>15</v>
      </c>
      <c r="O131" s="114"/>
      <c r="P131" s="17" t="s">
        <v>11</v>
      </c>
      <c r="Q131" s="17" t="s">
        <v>12</v>
      </c>
      <c r="R131" s="68" t="s">
        <v>20</v>
      </c>
      <c r="S131" s="19"/>
    </row>
    <row r="132" spans="1:19" ht="15" thickBot="1" x14ac:dyDescent="0.25">
      <c r="A132" s="28"/>
      <c r="B132" s="116" t="s">
        <v>85</v>
      </c>
      <c r="C132" s="116"/>
      <c r="D132" s="116"/>
      <c r="E132" s="91" t="s">
        <v>159</v>
      </c>
      <c r="F132" s="117" t="s">
        <v>161</v>
      </c>
      <c r="G132" s="117"/>
      <c r="H132" s="52"/>
      <c r="I132" s="118"/>
      <c r="J132" s="118"/>
      <c r="K132" s="118"/>
      <c r="L132" s="119"/>
      <c r="M132" s="69">
        <f>SUM(H129:H130)</f>
        <v>16</v>
      </c>
      <c r="N132" s="120">
        <f>O129</f>
        <v>0</v>
      </c>
      <c r="O132" s="121"/>
      <c r="P132" s="70">
        <v>0</v>
      </c>
      <c r="Q132" s="70">
        <f>P132*N132</f>
        <v>0</v>
      </c>
      <c r="R132" s="70">
        <f>Q132*5</f>
        <v>0</v>
      </c>
      <c r="S132" s="22"/>
    </row>
    <row r="133" spans="1:19" ht="15" thickBot="1" x14ac:dyDescent="0.25">
      <c r="A133" s="81"/>
      <c r="B133" s="82"/>
      <c r="C133" s="82"/>
      <c r="D133" s="82"/>
      <c r="E133" s="82"/>
      <c r="F133" s="82"/>
      <c r="G133" s="82"/>
      <c r="H133" s="82"/>
      <c r="I133" s="83"/>
      <c r="J133" s="83"/>
      <c r="K133" s="83"/>
      <c r="L133" s="82"/>
      <c r="M133" s="82"/>
      <c r="N133" s="84"/>
      <c r="O133" s="82"/>
      <c r="P133" s="82"/>
      <c r="Q133" s="82"/>
      <c r="R133" s="82"/>
      <c r="S133" s="85"/>
    </row>
    <row r="134" spans="1:19" ht="45.75" thickBot="1" x14ac:dyDescent="0.25">
      <c r="A134" s="7" t="s">
        <v>0</v>
      </c>
      <c r="B134" s="8" t="s">
        <v>1</v>
      </c>
      <c r="C134" s="8" t="s">
        <v>9</v>
      </c>
      <c r="D134" s="8" t="s">
        <v>13</v>
      </c>
      <c r="E134" s="8" t="s">
        <v>29</v>
      </c>
      <c r="F134" s="8" t="s">
        <v>5</v>
      </c>
      <c r="G134" s="8" t="s">
        <v>6</v>
      </c>
      <c r="H134" s="8" t="s">
        <v>2</v>
      </c>
      <c r="I134" s="8" t="s">
        <v>179</v>
      </c>
      <c r="J134" s="8" t="s">
        <v>180</v>
      </c>
      <c r="K134" s="8" t="s">
        <v>56</v>
      </c>
      <c r="L134" s="8" t="s">
        <v>3</v>
      </c>
      <c r="M134" s="8" t="s">
        <v>4</v>
      </c>
      <c r="N134" s="9" t="s">
        <v>16</v>
      </c>
      <c r="O134" s="8" t="s">
        <v>14</v>
      </c>
      <c r="P134" s="132" t="s">
        <v>9</v>
      </c>
      <c r="Q134" s="133"/>
      <c r="R134" s="133"/>
      <c r="S134" s="134"/>
    </row>
    <row r="135" spans="1:19" x14ac:dyDescent="0.2">
      <c r="A135" s="103" t="s">
        <v>50</v>
      </c>
      <c r="B135" s="23" t="s">
        <v>109</v>
      </c>
      <c r="C135" s="23"/>
      <c r="D135" s="99">
        <v>43048</v>
      </c>
      <c r="E135" s="31"/>
      <c r="F135" s="25"/>
      <c r="G135" s="25"/>
      <c r="H135" s="49">
        <v>16</v>
      </c>
      <c r="I135" s="48"/>
      <c r="J135" s="48">
        <v>1</v>
      </c>
      <c r="K135" s="48">
        <v>10</v>
      </c>
      <c r="L135" s="29">
        <f>(100/K135)*J135</f>
        <v>10</v>
      </c>
      <c r="M135" s="50">
        <f>L135*H135</f>
        <v>160</v>
      </c>
      <c r="N135" s="50"/>
      <c r="O135" s="50"/>
      <c r="P135" s="105" t="s">
        <v>173</v>
      </c>
      <c r="Q135" s="106"/>
      <c r="R135" s="106"/>
      <c r="S135" s="107"/>
    </row>
    <row r="136" spans="1:19" x14ac:dyDescent="0.2">
      <c r="A136" s="104"/>
      <c r="B136" s="23" t="s">
        <v>83</v>
      </c>
      <c r="C136" s="23"/>
      <c r="D136" s="99">
        <v>43048</v>
      </c>
      <c r="E136" s="31"/>
      <c r="F136" s="25"/>
      <c r="G136" s="25"/>
      <c r="H136" s="49">
        <v>16</v>
      </c>
      <c r="I136" s="48"/>
      <c r="J136" s="48"/>
      <c r="K136" s="48"/>
      <c r="L136" s="29"/>
      <c r="M136" s="50"/>
      <c r="N136" s="50"/>
      <c r="O136" s="50"/>
      <c r="P136" s="108"/>
      <c r="Q136" s="109"/>
      <c r="R136" s="109"/>
      <c r="S136" s="110"/>
    </row>
    <row r="137" spans="1:19" x14ac:dyDescent="0.2">
      <c r="A137" s="104"/>
      <c r="B137" s="23" t="s">
        <v>109</v>
      </c>
      <c r="C137" s="23"/>
      <c r="D137" s="24" t="s">
        <v>66</v>
      </c>
      <c r="E137" s="24"/>
      <c r="F137" s="25"/>
      <c r="G137" s="25"/>
      <c r="H137" s="25"/>
      <c r="I137" s="26"/>
      <c r="J137" s="26"/>
      <c r="K137" s="26"/>
      <c r="L137" s="29"/>
      <c r="M137" s="50"/>
      <c r="N137" s="50"/>
      <c r="O137" s="30"/>
      <c r="P137" s="108"/>
      <c r="Q137" s="109"/>
      <c r="R137" s="109"/>
      <c r="S137" s="110"/>
    </row>
    <row r="138" spans="1:19" x14ac:dyDescent="0.2">
      <c r="A138" s="104"/>
      <c r="B138" s="23" t="s">
        <v>83</v>
      </c>
      <c r="C138" s="23"/>
      <c r="D138" s="24" t="s">
        <v>66</v>
      </c>
      <c r="E138" s="24"/>
      <c r="F138" s="42"/>
      <c r="G138" s="25"/>
      <c r="H138" s="25"/>
      <c r="I138" s="26"/>
      <c r="J138" s="26"/>
      <c r="K138" s="26"/>
      <c r="L138" s="29"/>
      <c r="M138" s="50"/>
      <c r="N138" s="50"/>
      <c r="O138" s="30"/>
      <c r="P138" s="108"/>
      <c r="Q138" s="109"/>
      <c r="R138" s="109"/>
      <c r="S138" s="110"/>
    </row>
    <row r="139" spans="1:19" ht="15" thickBot="1" x14ac:dyDescent="0.25">
      <c r="A139" s="104"/>
      <c r="B139" s="23"/>
      <c r="C139" s="23"/>
      <c r="D139" s="24"/>
      <c r="E139" s="24"/>
      <c r="F139" s="25"/>
      <c r="G139" s="25"/>
      <c r="H139" s="25"/>
      <c r="I139" s="26"/>
      <c r="J139" s="26"/>
      <c r="K139" s="26"/>
      <c r="L139" s="35"/>
      <c r="M139" s="30"/>
      <c r="N139" s="30"/>
      <c r="O139" s="30"/>
      <c r="P139" s="108"/>
      <c r="Q139" s="109"/>
      <c r="R139" s="109"/>
      <c r="S139" s="110"/>
    </row>
    <row r="140" spans="1:19" ht="15" x14ac:dyDescent="0.2">
      <c r="A140" s="27"/>
      <c r="B140" s="111" t="s">
        <v>21</v>
      </c>
      <c r="C140" s="111"/>
      <c r="D140" s="111"/>
      <c r="E140" s="89" t="s">
        <v>67</v>
      </c>
      <c r="F140" s="112" t="s">
        <v>22</v>
      </c>
      <c r="G140" s="112"/>
      <c r="H140" s="17"/>
      <c r="I140" s="113" t="s">
        <v>8</v>
      </c>
      <c r="J140" s="113"/>
      <c r="K140" s="113"/>
      <c r="L140" s="114"/>
      <c r="M140" s="36" t="s">
        <v>10</v>
      </c>
      <c r="N140" s="115" t="s">
        <v>15</v>
      </c>
      <c r="O140" s="114"/>
      <c r="P140" s="17" t="s">
        <v>11</v>
      </c>
      <c r="Q140" s="17" t="s">
        <v>12</v>
      </c>
      <c r="R140" s="68" t="s">
        <v>20</v>
      </c>
      <c r="S140" s="19"/>
    </row>
    <row r="141" spans="1:19" ht="15" thickBot="1" x14ac:dyDescent="0.25">
      <c r="A141" s="28"/>
      <c r="B141" s="116" t="s">
        <v>85</v>
      </c>
      <c r="C141" s="116"/>
      <c r="D141" s="116"/>
      <c r="E141" s="69" t="s">
        <v>164</v>
      </c>
      <c r="F141" s="117"/>
      <c r="G141" s="117"/>
      <c r="H141" s="52"/>
      <c r="I141" s="118"/>
      <c r="J141" s="118"/>
      <c r="K141" s="118"/>
      <c r="L141" s="119"/>
      <c r="M141" s="69">
        <f>SUM(H135:H139)</f>
        <v>32</v>
      </c>
      <c r="N141" s="120">
        <f>O135</f>
        <v>0</v>
      </c>
      <c r="O141" s="121"/>
      <c r="P141" s="70">
        <v>0</v>
      </c>
      <c r="Q141" s="70">
        <f>P141*N141</f>
        <v>0</v>
      </c>
      <c r="R141" s="70">
        <f>Q141*5</f>
        <v>0</v>
      </c>
      <c r="S141" s="22"/>
    </row>
    <row r="142" spans="1:19" ht="15" thickBot="1" x14ac:dyDescent="0.25">
      <c r="A142" s="81"/>
      <c r="B142" s="82"/>
      <c r="C142" s="82"/>
      <c r="D142" s="82"/>
      <c r="E142" s="82"/>
      <c r="F142" s="82"/>
      <c r="G142" s="82"/>
      <c r="H142" s="82"/>
      <c r="I142" s="83"/>
      <c r="J142" s="83"/>
      <c r="K142" s="83"/>
      <c r="L142" s="82"/>
      <c r="M142" s="82"/>
      <c r="N142" s="84"/>
      <c r="O142" s="82"/>
      <c r="P142" s="82"/>
      <c r="Q142" s="82"/>
      <c r="R142" s="82"/>
      <c r="S142" s="85"/>
    </row>
    <row r="143" spans="1:19" ht="45.75" thickBot="1" x14ac:dyDescent="0.25">
      <c r="A143" s="7" t="s">
        <v>0</v>
      </c>
      <c r="B143" s="8" t="s">
        <v>1</v>
      </c>
      <c r="C143" s="8" t="s">
        <v>9</v>
      </c>
      <c r="D143" s="8" t="s">
        <v>13</v>
      </c>
      <c r="E143" s="8" t="s">
        <v>29</v>
      </c>
      <c r="F143" s="8" t="s">
        <v>5</v>
      </c>
      <c r="G143" s="8" t="s">
        <v>6</v>
      </c>
      <c r="H143" s="8" t="s">
        <v>2</v>
      </c>
      <c r="I143" s="8" t="s">
        <v>179</v>
      </c>
      <c r="J143" s="8" t="s">
        <v>180</v>
      </c>
      <c r="K143" s="8" t="s">
        <v>56</v>
      </c>
      <c r="L143" s="8" t="s">
        <v>3</v>
      </c>
      <c r="M143" s="8" t="s">
        <v>4</v>
      </c>
      <c r="N143" s="9" t="s">
        <v>16</v>
      </c>
      <c r="O143" s="8" t="s">
        <v>14</v>
      </c>
      <c r="P143" s="132" t="s">
        <v>9</v>
      </c>
      <c r="Q143" s="133"/>
      <c r="R143" s="133"/>
      <c r="S143" s="134"/>
    </row>
    <row r="144" spans="1:19" x14ac:dyDescent="0.2">
      <c r="A144" s="103" t="s">
        <v>51</v>
      </c>
      <c r="B144" s="93" t="s">
        <v>178</v>
      </c>
      <c r="C144" s="23"/>
      <c r="D144" s="99">
        <v>43027</v>
      </c>
      <c r="E144" s="31"/>
      <c r="F144" s="25" t="s">
        <v>148</v>
      </c>
      <c r="G144" s="25"/>
      <c r="H144" s="49">
        <v>32</v>
      </c>
      <c r="I144" s="48"/>
      <c r="J144" s="48">
        <v>1</v>
      </c>
      <c r="K144" s="48">
        <v>20</v>
      </c>
      <c r="L144" s="29">
        <f>(100/K144)*J144</f>
        <v>5</v>
      </c>
      <c r="M144" s="50">
        <f>L144*H144</f>
        <v>160</v>
      </c>
      <c r="N144" s="50"/>
      <c r="O144" s="50">
        <f>3.5*H144</f>
        <v>112</v>
      </c>
      <c r="P144" s="105" t="s">
        <v>162</v>
      </c>
      <c r="Q144" s="106"/>
      <c r="R144" s="106"/>
      <c r="S144" s="107"/>
    </row>
    <row r="145" spans="1:19" x14ac:dyDescent="0.2">
      <c r="A145" s="104"/>
      <c r="B145" s="23" t="s">
        <v>65</v>
      </c>
      <c r="C145" s="23"/>
      <c r="D145" s="31" t="s">
        <v>66</v>
      </c>
      <c r="E145" s="31"/>
      <c r="F145" s="25" t="s">
        <v>126</v>
      </c>
      <c r="G145" s="25"/>
      <c r="H145" s="49">
        <v>32</v>
      </c>
      <c r="I145" s="48"/>
      <c r="J145" s="48">
        <v>1</v>
      </c>
      <c r="K145" s="48">
        <v>20</v>
      </c>
      <c r="L145" s="29">
        <f>(100/K145)*J145</f>
        <v>5</v>
      </c>
      <c r="M145" s="50">
        <f>L145*H145</f>
        <v>160</v>
      </c>
      <c r="N145" s="50"/>
      <c r="O145" s="50">
        <f>4.8*H145</f>
        <v>153.6</v>
      </c>
      <c r="P145" s="108"/>
      <c r="Q145" s="109"/>
      <c r="R145" s="109"/>
      <c r="S145" s="110"/>
    </row>
    <row r="146" spans="1:19" ht="15" thickBot="1" x14ac:dyDescent="0.25">
      <c r="A146" s="104"/>
      <c r="B146" s="23"/>
      <c r="C146" s="23"/>
      <c r="D146" s="24"/>
      <c r="E146" s="24"/>
      <c r="F146" s="25"/>
      <c r="G146" s="25"/>
      <c r="H146" s="25"/>
      <c r="I146" s="26"/>
      <c r="J146" s="26"/>
      <c r="K146" s="26"/>
      <c r="L146" s="29"/>
      <c r="M146" s="50"/>
      <c r="N146" s="50"/>
      <c r="O146" s="30"/>
      <c r="P146" s="108"/>
      <c r="Q146" s="109"/>
      <c r="R146" s="109"/>
      <c r="S146" s="110"/>
    </row>
    <row r="147" spans="1:19" ht="15" x14ac:dyDescent="0.2">
      <c r="A147" s="27"/>
      <c r="B147" s="111" t="s">
        <v>21</v>
      </c>
      <c r="C147" s="111"/>
      <c r="D147" s="111"/>
      <c r="E147" s="89" t="s">
        <v>67</v>
      </c>
      <c r="F147" s="112" t="s">
        <v>22</v>
      </c>
      <c r="G147" s="112"/>
      <c r="H147" s="17"/>
      <c r="I147" s="113" t="s">
        <v>8</v>
      </c>
      <c r="J147" s="113"/>
      <c r="K147" s="113"/>
      <c r="L147" s="114"/>
      <c r="M147" s="36" t="s">
        <v>10</v>
      </c>
      <c r="N147" s="115" t="s">
        <v>15</v>
      </c>
      <c r="O147" s="114"/>
      <c r="P147" s="17" t="s">
        <v>11</v>
      </c>
      <c r="Q147" s="17" t="s">
        <v>12</v>
      </c>
      <c r="R147" s="68" t="s">
        <v>20</v>
      </c>
      <c r="S147" s="19"/>
    </row>
    <row r="148" spans="1:19" ht="15" thickBot="1" x14ac:dyDescent="0.25">
      <c r="A148" s="28"/>
      <c r="B148" s="116" t="s">
        <v>165</v>
      </c>
      <c r="C148" s="116"/>
      <c r="D148" s="116"/>
      <c r="E148" s="69" t="s">
        <v>164</v>
      </c>
      <c r="F148" s="117" t="s">
        <v>163</v>
      </c>
      <c r="G148" s="117"/>
      <c r="H148" s="52"/>
      <c r="I148" s="118"/>
      <c r="J148" s="118"/>
      <c r="K148" s="118"/>
      <c r="L148" s="119"/>
      <c r="M148" s="69">
        <f>SUM(H144:H146)</f>
        <v>64</v>
      </c>
      <c r="N148" s="120">
        <f>O144</f>
        <v>112</v>
      </c>
      <c r="O148" s="121"/>
      <c r="P148" s="70">
        <v>0</v>
      </c>
      <c r="Q148" s="70">
        <f>P148*N148</f>
        <v>0</v>
      </c>
      <c r="R148" s="70">
        <f>Q148*5</f>
        <v>0</v>
      </c>
      <c r="S148" s="22"/>
    </row>
    <row r="149" spans="1:19" ht="15" thickBot="1" x14ac:dyDescent="0.25">
      <c r="A149" s="81"/>
      <c r="B149" s="82"/>
      <c r="C149" s="82"/>
      <c r="D149" s="82"/>
      <c r="E149" s="82"/>
      <c r="F149" s="82"/>
      <c r="G149" s="82"/>
      <c r="H149" s="82"/>
      <c r="I149" s="83"/>
      <c r="J149" s="83"/>
      <c r="K149" s="83"/>
      <c r="L149" s="82"/>
      <c r="M149" s="82"/>
      <c r="N149" s="84"/>
      <c r="O149" s="82"/>
      <c r="P149" s="82"/>
      <c r="Q149" s="82"/>
      <c r="R149" s="82"/>
      <c r="S149" s="85"/>
    </row>
    <row r="150" spans="1:19" ht="45.75" thickBot="1" x14ac:dyDescent="0.25">
      <c r="A150" s="7" t="s">
        <v>0</v>
      </c>
      <c r="B150" s="8" t="s">
        <v>1</v>
      </c>
      <c r="C150" s="8" t="s">
        <v>9</v>
      </c>
      <c r="D150" s="8" t="s">
        <v>13</v>
      </c>
      <c r="E150" s="8" t="s">
        <v>29</v>
      </c>
      <c r="F150" s="8" t="s">
        <v>5</v>
      </c>
      <c r="G150" s="8" t="s">
        <v>6</v>
      </c>
      <c r="H150" s="8" t="s">
        <v>2</v>
      </c>
      <c r="I150" s="8" t="s">
        <v>179</v>
      </c>
      <c r="J150" s="8" t="s">
        <v>180</v>
      </c>
      <c r="K150" s="8" t="s">
        <v>56</v>
      </c>
      <c r="L150" s="8" t="s">
        <v>3</v>
      </c>
      <c r="M150" s="8" t="s">
        <v>4</v>
      </c>
      <c r="N150" s="9" t="s">
        <v>16</v>
      </c>
      <c r="O150" s="8" t="s">
        <v>14</v>
      </c>
      <c r="P150" s="132" t="s">
        <v>9</v>
      </c>
      <c r="Q150" s="133"/>
      <c r="R150" s="133"/>
      <c r="S150" s="134"/>
    </row>
    <row r="151" spans="1:19" x14ac:dyDescent="0.2">
      <c r="A151" s="103" t="s">
        <v>52</v>
      </c>
      <c r="B151" s="23" t="s">
        <v>110</v>
      </c>
      <c r="C151" s="23" t="s">
        <v>166</v>
      </c>
      <c r="D151" s="99">
        <v>43006</v>
      </c>
      <c r="E151" s="31"/>
      <c r="F151" s="98">
        <v>43034</v>
      </c>
      <c r="G151" s="25"/>
      <c r="H151" s="49">
        <v>16</v>
      </c>
      <c r="I151" s="48"/>
      <c r="J151" s="48">
        <v>4</v>
      </c>
      <c r="K151" s="48">
        <v>30</v>
      </c>
      <c r="L151" s="29">
        <f t="shared" ref="L151:L156" si="17">(100/K151)*J151</f>
        <v>13.333333333333334</v>
      </c>
      <c r="M151" s="50">
        <f>L151*H151</f>
        <v>213.33333333333334</v>
      </c>
      <c r="N151" s="50"/>
      <c r="O151" s="50"/>
      <c r="P151" s="105" t="s">
        <v>175</v>
      </c>
      <c r="Q151" s="106"/>
      <c r="R151" s="106"/>
      <c r="S151" s="107"/>
    </row>
    <row r="152" spans="1:19" x14ac:dyDescent="0.2">
      <c r="A152" s="104"/>
      <c r="B152" s="23" t="s">
        <v>84</v>
      </c>
      <c r="C152" s="31" t="s">
        <v>167</v>
      </c>
      <c r="D152" s="99">
        <v>43041</v>
      </c>
      <c r="E152" s="31"/>
      <c r="F152" s="24" t="s">
        <v>153</v>
      </c>
      <c r="G152" s="25"/>
      <c r="H152" s="49">
        <v>16</v>
      </c>
      <c r="I152" s="48"/>
      <c r="J152" s="48">
        <v>4</v>
      </c>
      <c r="K152" s="48">
        <v>30</v>
      </c>
      <c r="L152" s="29">
        <f t="shared" si="17"/>
        <v>13.333333333333334</v>
      </c>
      <c r="M152" s="50">
        <f>L152*H152</f>
        <v>213.33333333333334</v>
      </c>
      <c r="N152" s="50"/>
      <c r="O152" s="50"/>
      <c r="P152" s="108"/>
      <c r="Q152" s="109"/>
      <c r="R152" s="109"/>
      <c r="S152" s="110"/>
    </row>
    <row r="153" spans="1:19" x14ac:dyDescent="0.2">
      <c r="A153" s="104"/>
      <c r="B153" s="23" t="s">
        <v>110</v>
      </c>
      <c r="C153" s="23"/>
      <c r="D153" s="24" t="s">
        <v>122</v>
      </c>
      <c r="E153" s="24"/>
      <c r="F153" s="24" t="s">
        <v>124</v>
      </c>
      <c r="G153" s="25"/>
      <c r="H153" s="49">
        <v>16</v>
      </c>
      <c r="I153" s="26"/>
      <c r="J153" s="48">
        <v>4</v>
      </c>
      <c r="K153" s="48">
        <v>30</v>
      </c>
      <c r="L153" s="29">
        <f t="shared" si="17"/>
        <v>13.333333333333334</v>
      </c>
      <c r="M153" s="50">
        <f t="shared" ref="M153:M154" si="18">L153*H153</f>
        <v>213.33333333333334</v>
      </c>
      <c r="N153" s="50"/>
      <c r="O153" s="30"/>
      <c r="P153" s="108"/>
      <c r="Q153" s="109"/>
      <c r="R153" s="109"/>
      <c r="S153" s="110"/>
    </row>
    <row r="154" spans="1:19" x14ac:dyDescent="0.2">
      <c r="A154" s="104"/>
      <c r="B154" s="23" t="s">
        <v>84</v>
      </c>
      <c r="C154" s="23"/>
      <c r="D154" s="24" t="s">
        <v>153</v>
      </c>
      <c r="E154" s="24"/>
      <c r="F154" s="42" t="s">
        <v>116</v>
      </c>
      <c r="G154" s="25"/>
      <c r="H154" s="49">
        <v>16</v>
      </c>
      <c r="I154" s="26"/>
      <c r="J154" s="48">
        <v>4</v>
      </c>
      <c r="K154" s="48">
        <v>30</v>
      </c>
      <c r="L154" s="29">
        <f t="shared" si="17"/>
        <v>13.333333333333334</v>
      </c>
      <c r="M154" s="50">
        <f t="shared" si="18"/>
        <v>213.33333333333334</v>
      </c>
      <c r="N154" s="50"/>
      <c r="O154" s="30"/>
      <c r="P154" s="108"/>
      <c r="Q154" s="109"/>
      <c r="R154" s="109"/>
      <c r="S154" s="110"/>
    </row>
    <row r="155" spans="1:19" x14ac:dyDescent="0.2">
      <c r="A155" s="104"/>
      <c r="B155" s="23" t="s">
        <v>110</v>
      </c>
      <c r="C155" s="23"/>
      <c r="D155" s="24" t="s">
        <v>124</v>
      </c>
      <c r="E155" s="24"/>
      <c r="F155" s="25" t="s">
        <v>126</v>
      </c>
      <c r="G155" s="25"/>
      <c r="H155" s="49">
        <v>16</v>
      </c>
      <c r="I155" s="26"/>
      <c r="J155" s="48">
        <v>4</v>
      </c>
      <c r="K155" s="48">
        <v>30</v>
      </c>
      <c r="L155" s="29">
        <f t="shared" si="17"/>
        <v>13.333333333333334</v>
      </c>
      <c r="M155" s="50">
        <f>L155*H155</f>
        <v>213.33333333333334</v>
      </c>
      <c r="N155" s="30"/>
      <c r="O155" s="30"/>
      <c r="P155" s="108"/>
      <c r="Q155" s="109"/>
      <c r="R155" s="109"/>
      <c r="S155" s="110"/>
    </row>
    <row r="156" spans="1:19" ht="15" thickBot="1" x14ac:dyDescent="0.25">
      <c r="A156" s="104"/>
      <c r="B156" s="23" t="s">
        <v>110</v>
      </c>
      <c r="C156" s="23"/>
      <c r="D156" s="24" t="s">
        <v>174</v>
      </c>
      <c r="E156" s="24"/>
      <c r="F156" s="25" t="s">
        <v>126</v>
      </c>
      <c r="G156" s="25"/>
      <c r="H156" s="49">
        <v>16</v>
      </c>
      <c r="I156" s="26"/>
      <c r="J156" s="48">
        <v>4</v>
      </c>
      <c r="K156" s="48">
        <v>30</v>
      </c>
      <c r="L156" s="29">
        <f t="shared" si="17"/>
        <v>13.333333333333334</v>
      </c>
      <c r="M156" s="50">
        <f>L156*H156</f>
        <v>213.33333333333334</v>
      </c>
      <c r="N156" s="30"/>
      <c r="O156" s="30"/>
      <c r="P156" s="108"/>
      <c r="Q156" s="109"/>
      <c r="R156" s="109"/>
      <c r="S156" s="110"/>
    </row>
    <row r="157" spans="1:19" ht="15" x14ac:dyDescent="0.2">
      <c r="A157" s="27"/>
      <c r="B157" s="111" t="s">
        <v>21</v>
      </c>
      <c r="C157" s="111"/>
      <c r="D157" s="111"/>
      <c r="E157" s="67"/>
      <c r="F157" s="112" t="s">
        <v>22</v>
      </c>
      <c r="G157" s="112"/>
      <c r="H157" s="17"/>
      <c r="I157" s="113" t="s">
        <v>8</v>
      </c>
      <c r="J157" s="113"/>
      <c r="K157" s="113"/>
      <c r="L157" s="114"/>
      <c r="M157" s="36" t="s">
        <v>10</v>
      </c>
      <c r="N157" s="115" t="s">
        <v>15</v>
      </c>
      <c r="O157" s="114"/>
      <c r="P157" s="17" t="s">
        <v>11</v>
      </c>
      <c r="Q157" s="17" t="s">
        <v>12</v>
      </c>
      <c r="R157" s="68" t="s">
        <v>20</v>
      </c>
      <c r="S157" s="19"/>
    </row>
    <row r="158" spans="1:19" ht="15" thickBot="1" x14ac:dyDescent="0.25">
      <c r="A158" s="28"/>
      <c r="B158" s="116" t="s">
        <v>85</v>
      </c>
      <c r="C158" s="116"/>
      <c r="D158" s="116"/>
      <c r="E158" s="69"/>
      <c r="F158" s="117" t="s">
        <v>60</v>
      </c>
      <c r="G158" s="117"/>
      <c r="H158" s="52"/>
      <c r="I158" s="118"/>
      <c r="J158" s="118"/>
      <c r="K158" s="118"/>
      <c r="L158" s="119"/>
      <c r="M158" s="69">
        <f>SUM(H151:H155)</f>
        <v>80</v>
      </c>
      <c r="N158" s="120">
        <f>O151</f>
        <v>0</v>
      </c>
      <c r="O158" s="121"/>
      <c r="P158" s="70">
        <v>0</v>
      </c>
      <c r="Q158" s="70">
        <f>P158*N158</f>
        <v>0</v>
      </c>
      <c r="R158" s="70">
        <f>Q158*5</f>
        <v>0</v>
      </c>
      <c r="S158" s="22"/>
    </row>
    <row r="159" spans="1:19" ht="15" thickBot="1" x14ac:dyDescent="0.25">
      <c r="A159" s="81"/>
      <c r="B159" s="82"/>
      <c r="C159" s="82"/>
      <c r="D159" s="82"/>
      <c r="E159" s="82"/>
      <c r="F159" s="82"/>
      <c r="G159" s="82"/>
      <c r="H159" s="82"/>
      <c r="I159" s="83"/>
      <c r="J159" s="83"/>
      <c r="K159" s="83"/>
      <c r="L159" s="82"/>
      <c r="M159" s="82"/>
      <c r="N159" s="84"/>
      <c r="O159" s="82"/>
      <c r="P159" s="82"/>
      <c r="Q159" s="82"/>
      <c r="R159" s="82"/>
      <c r="S159" s="85"/>
    </row>
    <row r="160" spans="1:19" ht="45.75" thickBot="1" x14ac:dyDescent="0.25">
      <c r="A160" s="7" t="s">
        <v>0</v>
      </c>
      <c r="B160" s="8" t="s">
        <v>1</v>
      </c>
      <c r="C160" s="8" t="s">
        <v>9</v>
      </c>
      <c r="D160" s="8" t="s">
        <v>13</v>
      </c>
      <c r="E160" s="8" t="s">
        <v>29</v>
      </c>
      <c r="F160" s="8" t="s">
        <v>5</v>
      </c>
      <c r="G160" s="8" t="s">
        <v>6</v>
      </c>
      <c r="H160" s="8" t="s">
        <v>2</v>
      </c>
      <c r="I160" s="8" t="s">
        <v>179</v>
      </c>
      <c r="J160" s="8" t="s">
        <v>180</v>
      </c>
      <c r="K160" s="8" t="s">
        <v>56</v>
      </c>
      <c r="L160" s="8" t="s">
        <v>3</v>
      </c>
      <c r="M160" s="8" t="s">
        <v>4</v>
      </c>
      <c r="N160" s="9" t="s">
        <v>16</v>
      </c>
      <c r="O160" s="8" t="s">
        <v>14</v>
      </c>
      <c r="P160" s="132" t="s">
        <v>9</v>
      </c>
      <c r="Q160" s="133"/>
      <c r="R160" s="133"/>
      <c r="S160" s="134"/>
    </row>
    <row r="161" spans="1:19" x14ac:dyDescent="0.2">
      <c r="A161" s="103" t="s">
        <v>53</v>
      </c>
      <c r="B161" s="23"/>
      <c r="C161" s="23"/>
      <c r="D161" s="99">
        <v>42989</v>
      </c>
      <c r="E161" s="31"/>
      <c r="F161" s="25"/>
      <c r="G161" s="25"/>
      <c r="H161" s="49">
        <v>32</v>
      </c>
      <c r="I161" s="48"/>
      <c r="J161" s="48">
        <v>1</v>
      </c>
      <c r="K161" s="48">
        <v>100</v>
      </c>
      <c r="L161" s="29">
        <f>(100/K161)*J161</f>
        <v>1</v>
      </c>
      <c r="M161" s="50">
        <f>L161*H161</f>
        <v>32</v>
      </c>
      <c r="N161" s="50"/>
      <c r="O161" s="50"/>
      <c r="P161" s="105"/>
      <c r="Q161" s="106"/>
      <c r="R161" s="106"/>
      <c r="S161" s="107"/>
    </row>
    <row r="162" spans="1:19" x14ac:dyDescent="0.2">
      <c r="A162" s="104"/>
      <c r="B162" s="23"/>
      <c r="C162" s="23"/>
      <c r="D162" s="31" t="s">
        <v>171</v>
      </c>
      <c r="E162" s="31"/>
      <c r="F162" s="25"/>
      <c r="G162" s="25"/>
      <c r="H162" s="49"/>
      <c r="I162" s="48"/>
      <c r="J162" s="48"/>
      <c r="K162" s="48"/>
      <c r="L162" s="29"/>
      <c r="M162" s="50"/>
      <c r="N162" s="50"/>
      <c r="O162" s="50"/>
      <c r="P162" s="108"/>
      <c r="Q162" s="109"/>
      <c r="R162" s="109"/>
      <c r="S162" s="110"/>
    </row>
    <row r="163" spans="1:19" x14ac:dyDescent="0.2">
      <c r="A163" s="104"/>
      <c r="B163" s="23"/>
      <c r="C163" s="23"/>
      <c r="D163" s="24"/>
      <c r="E163" s="24"/>
      <c r="F163" s="25"/>
      <c r="G163" s="25"/>
      <c r="H163" s="25"/>
      <c r="I163" s="26"/>
      <c r="J163" s="26"/>
      <c r="K163" s="26"/>
      <c r="L163" s="29"/>
      <c r="M163" s="50"/>
      <c r="N163" s="50"/>
      <c r="O163" s="30"/>
      <c r="P163" s="108"/>
      <c r="Q163" s="109"/>
      <c r="R163" s="109"/>
      <c r="S163" s="110"/>
    </row>
    <row r="164" spans="1:19" x14ac:dyDescent="0.2">
      <c r="A164" s="104"/>
      <c r="B164" s="23"/>
      <c r="C164" s="23"/>
      <c r="D164" s="24"/>
      <c r="E164" s="24"/>
      <c r="F164" s="42"/>
      <c r="G164" s="25"/>
      <c r="H164" s="25"/>
      <c r="I164" s="26"/>
      <c r="J164" s="26"/>
      <c r="K164" s="26"/>
      <c r="L164" s="29"/>
      <c r="M164" s="50"/>
      <c r="N164" s="50"/>
      <c r="O164" s="30"/>
      <c r="P164" s="108"/>
      <c r="Q164" s="109"/>
      <c r="R164" s="109"/>
      <c r="S164" s="110"/>
    </row>
    <row r="165" spans="1:19" ht="15" thickBot="1" x14ac:dyDescent="0.25">
      <c r="A165" s="104"/>
      <c r="B165" s="23"/>
      <c r="C165" s="23"/>
      <c r="D165" s="24"/>
      <c r="E165" s="24"/>
      <c r="F165" s="25"/>
      <c r="G165" s="25"/>
      <c r="H165" s="25"/>
      <c r="I165" s="26"/>
      <c r="J165" s="26"/>
      <c r="K165" s="26"/>
      <c r="L165" s="35"/>
      <c r="M165" s="30"/>
      <c r="N165" s="30"/>
      <c r="O165" s="30"/>
      <c r="P165" s="108"/>
      <c r="Q165" s="109"/>
      <c r="R165" s="109"/>
      <c r="S165" s="110"/>
    </row>
    <row r="166" spans="1:19" ht="15" x14ac:dyDescent="0.2">
      <c r="A166" s="27"/>
      <c r="B166" s="111" t="s">
        <v>21</v>
      </c>
      <c r="C166" s="111"/>
      <c r="D166" s="111"/>
      <c r="E166" s="67"/>
      <c r="F166" s="112" t="s">
        <v>22</v>
      </c>
      <c r="G166" s="112"/>
      <c r="H166" s="17"/>
      <c r="I166" s="113" t="s">
        <v>8</v>
      </c>
      <c r="J166" s="113"/>
      <c r="K166" s="113"/>
      <c r="L166" s="114"/>
      <c r="M166" s="36" t="s">
        <v>10</v>
      </c>
      <c r="N166" s="115" t="s">
        <v>15</v>
      </c>
      <c r="O166" s="114"/>
      <c r="P166" s="17" t="s">
        <v>11</v>
      </c>
      <c r="Q166" s="17" t="s">
        <v>12</v>
      </c>
      <c r="R166" s="68" t="s">
        <v>20</v>
      </c>
      <c r="S166" s="19"/>
    </row>
    <row r="167" spans="1:19" ht="15" thickBot="1" x14ac:dyDescent="0.25">
      <c r="A167" s="28"/>
      <c r="B167" s="116" t="s">
        <v>172</v>
      </c>
      <c r="C167" s="116"/>
      <c r="D167" s="116"/>
      <c r="E167" s="69"/>
      <c r="F167" s="117" t="s">
        <v>150</v>
      </c>
      <c r="G167" s="117"/>
      <c r="H167" s="52"/>
      <c r="I167" s="118"/>
      <c r="J167" s="118"/>
      <c r="K167" s="118"/>
      <c r="L167" s="119"/>
      <c r="M167" s="69">
        <f>SUM(H161:H165)</f>
        <v>32</v>
      </c>
      <c r="N167" s="120">
        <f>O161</f>
        <v>0</v>
      </c>
      <c r="O167" s="121"/>
      <c r="P167" s="70">
        <v>0</v>
      </c>
      <c r="Q167" s="70">
        <f>P167*N167</f>
        <v>0</v>
      </c>
      <c r="R167" s="70">
        <f>Q167*5</f>
        <v>0</v>
      </c>
      <c r="S167" s="22"/>
    </row>
    <row r="168" spans="1:19" ht="15" thickBot="1" x14ac:dyDescent="0.25">
      <c r="A168" s="81"/>
      <c r="B168" s="82"/>
      <c r="C168" s="82"/>
      <c r="D168" s="82"/>
      <c r="E168" s="82"/>
      <c r="F168" s="82"/>
      <c r="G168" s="82"/>
      <c r="H168" s="82"/>
      <c r="I168" s="83"/>
      <c r="J168" s="83"/>
      <c r="K168" s="83"/>
      <c r="L168" s="82"/>
      <c r="M168" s="82"/>
      <c r="N168" s="84"/>
      <c r="O168" s="82"/>
      <c r="P168" s="82"/>
      <c r="Q168" s="82"/>
      <c r="R168" s="82"/>
      <c r="S168" s="85"/>
    </row>
    <row r="169" spans="1:19" ht="45.75" thickBot="1" x14ac:dyDescent="0.25">
      <c r="A169" s="7" t="s">
        <v>0</v>
      </c>
      <c r="B169" s="8" t="s">
        <v>1</v>
      </c>
      <c r="C169" s="8" t="s">
        <v>9</v>
      </c>
      <c r="D169" s="8" t="s">
        <v>13</v>
      </c>
      <c r="E169" s="8" t="s">
        <v>29</v>
      </c>
      <c r="F169" s="8" t="s">
        <v>5</v>
      </c>
      <c r="G169" s="8" t="s">
        <v>6</v>
      </c>
      <c r="H169" s="8" t="s">
        <v>2</v>
      </c>
      <c r="I169" s="8" t="s">
        <v>179</v>
      </c>
      <c r="J169" s="8" t="s">
        <v>180</v>
      </c>
      <c r="K169" s="8" t="s">
        <v>56</v>
      </c>
      <c r="L169" s="8" t="s">
        <v>3</v>
      </c>
      <c r="M169" s="8" t="s">
        <v>4</v>
      </c>
      <c r="N169" s="9" t="s">
        <v>16</v>
      </c>
      <c r="O169" s="8" t="s">
        <v>14</v>
      </c>
      <c r="P169" s="132" t="s">
        <v>9</v>
      </c>
      <c r="Q169" s="133"/>
      <c r="R169" s="133"/>
      <c r="S169" s="134"/>
    </row>
    <row r="170" spans="1:19" x14ac:dyDescent="0.2">
      <c r="A170" s="103" t="s">
        <v>39</v>
      </c>
      <c r="B170" s="23"/>
      <c r="C170" s="23"/>
      <c r="D170" s="99">
        <v>43034</v>
      </c>
      <c r="E170" s="31"/>
      <c r="F170" s="25"/>
      <c r="G170" s="25"/>
      <c r="H170" s="49">
        <v>32</v>
      </c>
      <c r="I170" s="48"/>
      <c r="J170" s="48">
        <v>4</v>
      </c>
      <c r="K170" s="48">
        <v>10</v>
      </c>
      <c r="L170" s="29">
        <f>(100/K170)*J170</f>
        <v>40</v>
      </c>
      <c r="M170" s="50">
        <f>L170*H170</f>
        <v>1280</v>
      </c>
      <c r="N170" s="50"/>
      <c r="O170" s="50"/>
      <c r="P170" s="105" t="s">
        <v>177</v>
      </c>
      <c r="Q170" s="106"/>
      <c r="R170" s="106"/>
      <c r="S170" s="107"/>
    </row>
    <row r="171" spans="1:19" x14ac:dyDescent="0.2">
      <c r="A171" s="104"/>
      <c r="B171" s="23"/>
      <c r="C171" s="23"/>
      <c r="D171" s="31"/>
      <c r="E171" s="31"/>
      <c r="F171" s="25"/>
      <c r="G171" s="25"/>
      <c r="H171" s="49"/>
      <c r="I171" s="48"/>
      <c r="J171" s="48"/>
      <c r="K171" s="48"/>
      <c r="L171" s="29"/>
      <c r="M171" s="50"/>
      <c r="N171" s="50"/>
      <c r="O171" s="50"/>
      <c r="P171" s="108"/>
      <c r="Q171" s="109"/>
      <c r="R171" s="109"/>
      <c r="S171" s="110"/>
    </row>
    <row r="172" spans="1:19" x14ac:dyDescent="0.2">
      <c r="A172" s="104"/>
      <c r="B172" s="23"/>
      <c r="C172" s="23"/>
      <c r="D172" s="24"/>
      <c r="E172" s="24"/>
      <c r="F172" s="25"/>
      <c r="G172" s="25"/>
      <c r="H172" s="25"/>
      <c r="I172" s="26"/>
      <c r="J172" s="26"/>
      <c r="K172" s="26"/>
      <c r="L172" s="29"/>
      <c r="M172" s="50"/>
      <c r="N172" s="50"/>
      <c r="O172" s="30"/>
      <c r="P172" s="108"/>
      <c r="Q172" s="109"/>
      <c r="R172" s="109"/>
      <c r="S172" s="110"/>
    </row>
    <row r="173" spans="1:19" x14ac:dyDescent="0.2">
      <c r="A173" s="104"/>
      <c r="B173" s="23"/>
      <c r="C173" s="23"/>
      <c r="D173" s="24"/>
      <c r="E173" s="24"/>
      <c r="F173" s="42"/>
      <c r="G173" s="25"/>
      <c r="H173" s="25"/>
      <c r="I173" s="26"/>
      <c r="J173" s="26"/>
      <c r="K173" s="26"/>
      <c r="L173" s="29"/>
      <c r="M173" s="50"/>
      <c r="N173" s="50"/>
      <c r="O173" s="30"/>
      <c r="P173" s="108"/>
      <c r="Q173" s="109"/>
      <c r="R173" s="109"/>
      <c r="S173" s="110"/>
    </row>
    <row r="174" spans="1:19" ht="15" thickBot="1" x14ac:dyDescent="0.25">
      <c r="A174" s="104"/>
      <c r="B174" s="23"/>
      <c r="C174" s="23"/>
      <c r="D174" s="24"/>
      <c r="E174" s="24"/>
      <c r="F174" s="25"/>
      <c r="G174" s="25"/>
      <c r="H174" s="25"/>
      <c r="I174" s="26"/>
      <c r="J174" s="26"/>
      <c r="K174" s="26"/>
      <c r="L174" s="35"/>
      <c r="M174" s="30"/>
      <c r="N174" s="30"/>
      <c r="O174" s="30"/>
      <c r="P174" s="108"/>
      <c r="Q174" s="109"/>
      <c r="R174" s="109"/>
      <c r="S174" s="110"/>
    </row>
    <row r="175" spans="1:19" ht="15" x14ac:dyDescent="0.2">
      <c r="A175" s="27"/>
      <c r="B175" s="111" t="s">
        <v>21</v>
      </c>
      <c r="C175" s="111"/>
      <c r="D175" s="111"/>
      <c r="E175" s="67"/>
      <c r="F175" s="112" t="s">
        <v>22</v>
      </c>
      <c r="G175" s="112"/>
      <c r="H175" s="17"/>
      <c r="I175" s="113" t="s">
        <v>8</v>
      </c>
      <c r="J175" s="113"/>
      <c r="K175" s="113"/>
      <c r="L175" s="114"/>
      <c r="M175" s="36" t="s">
        <v>10</v>
      </c>
      <c r="N175" s="115" t="s">
        <v>15</v>
      </c>
      <c r="O175" s="114"/>
      <c r="P175" s="17" t="s">
        <v>11</v>
      </c>
      <c r="Q175" s="17" t="s">
        <v>12</v>
      </c>
      <c r="R175" s="68" t="s">
        <v>20</v>
      </c>
      <c r="S175" s="19"/>
    </row>
    <row r="176" spans="1:19" ht="15" thickBot="1" x14ac:dyDescent="0.25">
      <c r="A176" s="28"/>
      <c r="B176" s="116" t="s">
        <v>57</v>
      </c>
      <c r="C176" s="116"/>
      <c r="D176" s="116"/>
      <c r="E176" s="69"/>
      <c r="F176" s="117" t="s">
        <v>58</v>
      </c>
      <c r="G176" s="117"/>
      <c r="H176" s="52"/>
      <c r="I176" s="118" t="s">
        <v>64</v>
      </c>
      <c r="J176" s="118"/>
      <c r="K176" s="118"/>
      <c r="L176" s="119"/>
      <c r="M176" s="69">
        <f>SUM(H170:H174)</f>
        <v>32</v>
      </c>
      <c r="N176" s="120">
        <f>O170</f>
        <v>0</v>
      </c>
      <c r="O176" s="121"/>
      <c r="P176" s="70">
        <v>0</v>
      </c>
      <c r="Q176" s="70">
        <f>P176*N176</f>
        <v>0</v>
      </c>
      <c r="R176" s="70">
        <f>Q176*5</f>
        <v>0</v>
      </c>
      <c r="S176" s="22"/>
    </row>
    <row r="177" spans="1:19" ht="15" thickBot="1" x14ac:dyDescent="0.25">
      <c r="A177" s="81"/>
      <c r="B177" s="82"/>
      <c r="C177" s="82"/>
      <c r="D177" s="82"/>
      <c r="E177" s="82"/>
      <c r="F177" s="82"/>
      <c r="G177" s="82"/>
      <c r="H177" s="82"/>
      <c r="I177" s="83"/>
      <c r="J177" s="83"/>
      <c r="K177" s="83"/>
      <c r="L177" s="82"/>
      <c r="M177" s="82"/>
      <c r="N177" s="84"/>
      <c r="O177" s="82"/>
      <c r="P177" s="82"/>
      <c r="Q177" s="82"/>
      <c r="R177" s="82"/>
      <c r="S177" s="85"/>
    </row>
    <row r="178" spans="1:19" ht="45.75" thickBot="1" x14ac:dyDescent="0.25">
      <c r="A178" s="7" t="s">
        <v>0</v>
      </c>
      <c r="B178" s="8" t="s">
        <v>1</v>
      </c>
      <c r="C178" s="8" t="s">
        <v>9</v>
      </c>
      <c r="D178" s="8" t="s">
        <v>13</v>
      </c>
      <c r="E178" s="8" t="s">
        <v>29</v>
      </c>
      <c r="F178" s="8" t="s">
        <v>5</v>
      </c>
      <c r="G178" s="8" t="s">
        <v>6</v>
      </c>
      <c r="H178" s="8" t="s">
        <v>2</v>
      </c>
      <c r="I178" s="8" t="s">
        <v>179</v>
      </c>
      <c r="J178" s="8" t="s">
        <v>180</v>
      </c>
      <c r="K178" s="8" t="s">
        <v>56</v>
      </c>
      <c r="L178" s="8" t="s">
        <v>3</v>
      </c>
      <c r="M178" s="8" t="s">
        <v>4</v>
      </c>
      <c r="N178" s="9" t="s">
        <v>16</v>
      </c>
      <c r="O178" s="8" t="s">
        <v>14</v>
      </c>
      <c r="P178" s="132" t="s">
        <v>9</v>
      </c>
      <c r="Q178" s="133"/>
      <c r="R178" s="133"/>
      <c r="S178" s="134"/>
    </row>
    <row r="179" spans="1:19" x14ac:dyDescent="0.2">
      <c r="A179" s="103" t="s">
        <v>80</v>
      </c>
      <c r="B179" s="23" t="s">
        <v>81</v>
      </c>
      <c r="C179" s="23" t="s">
        <v>113</v>
      </c>
      <c r="D179" s="99">
        <v>43041</v>
      </c>
      <c r="E179" s="31" t="s">
        <v>185</v>
      </c>
      <c r="F179" s="25"/>
      <c r="G179" s="25"/>
      <c r="H179" s="49">
        <v>16</v>
      </c>
      <c r="I179" s="48"/>
      <c r="J179" s="48">
        <v>4</v>
      </c>
      <c r="K179" s="48">
        <v>30</v>
      </c>
      <c r="L179" s="29">
        <f>(100/K179)*J179</f>
        <v>13.333333333333334</v>
      </c>
      <c r="M179" s="50">
        <f>L179*H179</f>
        <v>213.33333333333334</v>
      </c>
      <c r="N179" s="50"/>
      <c r="O179" s="50"/>
      <c r="P179" s="105"/>
      <c r="Q179" s="106"/>
      <c r="R179" s="106"/>
      <c r="S179" s="107"/>
    </row>
    <row r="180" spans="1:19" x14ac:dyDescent="0.2">
      <c r="A180" s="104"/>
      <c r="B180" s="23"/>
      <c r="C180" s="23"/>
      <c r="D180" s="31"/>
      <c r="E180" s="31"/>
      <c r="F180" s="25"/>
      <c r="G180" s="25"/>
      <c r="H180" s="49"/>
      <c r="I180" s="48"/>
      <c r="J180" s="48"/>
      <c r="K180" s="48"/>
      <c r="L180" s="29"/>
      <c r="M180" s="50"/>
      <c r="N180" s="50"/>
      <c r="O180" s="50"/>
      <c r="P180" s="108"/>
      <c r="Q180" s="109"/>
      <c r="R180" s="109"/>
      <c r="S180" s="110"/>
    </row>
    <row r="181" spans="1:19" x14ac:dyDescent="0.2">
      <c r="A181" s="104"/>
      <c r="B181" s="23"/>
      <c r="C181" s="23"/>
      <c r="D181" s="24"/>
      <c r="E181" s="24"/>
      <c r="F181" s="25"/>
      <c r="G181" s="25"/>
      <c r="H181" s="25"/>
      <c r="I181" s="26"/>
      <c r="J181" s="26"/>
      <c r="K181" s="26"/>
      <c r="L181" s="29"/>
      <c r="M181" s="50"/>
      <c r="N181" s="50"/>
      <c r="O181" s="30"/>
      <c r="P181" s="108"/>
      <c r="Q181" s="109"/>
      <c r="R181" s="109"/>
      <c r="S181" s="110"/>
    </row>
    <row r="182" spans="1:19" x14ac:dyDescent="0.2">
      <c r="A182" s="104"/>
      <c r="B182" s="23"/>
      <c r="C182" s="23"/>
      <c r="D182" s="24"/>
      <c r="E182" s="24"/>
      <c r="F182" s="42"/>
      <c r="G182" s="25"/>
      <c r="H182" s="25"/>
      <c r="I182" s="26"/>
      <c r="J182" s="26"/>
      <c r="K182" s="26"/>
      <c r="L182" s="29"/>
      <c r="M182" s="50"/>
      <c r="N182" s="50"/>
      <c r="O182" s="30"/>
      <c r="P182" s="108"/>
      <c r="Q182" s="109"/>
      <c r="R182" s="109"/>
      <c r="S182" s="110"/>
    </row>
    <row r="183" spans="1:19" ht="15" thickBot="1" x14ac:dyDescent="0.25">
      <c r="A183" s="104"/>
      <c r="B183" s="23"/>
      <c r="C183" s="23"/>
      <c r="D183" s="24"/>
      <c r="E183" s="24"/>
      <c r="F183" s="25"/>
      <c r="G183" s="25"/>
      <c r="H183" s="25"/>
      <c r="I183" s="26"/>
      <c r="J183" s="26"/>
      <c r="K183" s="26"/>
      <c r="L183" s="35"/>
      <c r="M183" s="30"/>
      <c r="N183" s="30"/>
      <c r="O183" s="30"/>
      <c r="P183" s="108"/>
      <c r="Q183" s="109"/>
      <c r="R183" s="109"/>
      <c r="S183" s="110"/>
    </row>
    <row r="184" spans="1:19" ht="15" x14ac:dyDescent="0.2">
      <c r="A184" s="27"/>
      <c r="B184" s="111" t="s">
        <v>21</v>
      </c>
      <c r="C184" s="111"/>
      <c r="D184" s="111"/>
      <c r="E184" s="67"/>
      <c r="F184" s="112" t="s">
        <v>22</v>
      </c>
      <c r="G184" s="112"/>
      <c r="H184" s="17"/>
      <c r="I184" s="113" t="s">
        <v>8</v>
      </c>
      <c r="J184" s="113"/>
      <c r="K184" s="113"/>
      <c r="L184" s="114"/>
      <c r="M184" s="36" t="s">
        <v>10</v>
      </c>
      <c r="N184" s="115" t="s">
        <v>15</v>
      </c>
      <c r="O184" s="114"/>
      <c r="P184" s="17" t="s">
        <v>11</v>
      </c>
      <c r="Q184" s="17" t="s">
        <v>12</v>
      </c>
      <c r="R184" s="68" t="s">
        <v>20</v>
      </c>
      <c r="S184" s="19"/>
    </row>
    <row r="185" spans="1:19" ht="15" thickBot="1" x14ac:dyDescent="0.25">
      <c r="A185" s="28"/>
      <c r="B185" s="116" t="s">
        <v>82</v>
      </c>
      <c r="C185" s="116"/>
      <c r="D185" s="116"/>
      <c r="E185" s="69"/>
      <c r="F185" s="117" t="s">
        <v>63</v>
      </c>
      <c r="G185" s="117"/>
      <c r="H185" s="52"/>
      <c r="I185" s="118"/>
      <c r="J185" s="118"/>
      <c r="K185" s="118"/>
      <c r="L185" s="119"/>
      <c r="M185" s="69">
        <f>SUM(H179:H183)</f>
        <v>16</v>
      </c>
      <c r="N185" s="120">
        <f>O179</f>
        <v>0</v>
      </c>
      <c r="O185" s="121"/>
      <c r="P185" s="70">
        <v>0</v>
      </c>
      <c r="Q185" s="70">
        <f>P185*N185</f>
        <v>0</v>
      </c>
      <c r="R185" s="70">
        <f>Q185*5</f>
        <v>0</v>
      </c>
      <c r="S185" s="22"/>
    </row>
    <row r="186" spans="1:19" ht="15" thickBot="1" x14ac:dyDescent="0.25">
      <c r="A186" s="81"/>
      <c r="B186" s="82"/>
      <c r="C186" s="82"/>
      <c r="D186" s="82"/>
      <c r="E186" s="82"/>
      <c r="F186" s="82"/>
      <c r="G186" s="82"/>
      <c r="H186" s="82"/>
      <c r="I186" s="83"/>
      <c r="J186" s="83"/>
      <c r="K186" s="83"/>
      <c r="L186" s="82"/>
      <c r="M186" s="82"/>
      <c r="N186" s="84"/>
      <c r="O186" s="82"/>
      <c r="P186" s="82"/>
      <c r="Q186" s="82"/>
      <c r="R186" s="82"/>
      <c r="S186" s="85"/>
    </row>
    <row r="187" spans="1:19" ht="45.75" thickBot="1" x14ac:dyDescent="0.25">
      <c r="A187" s="7" t="s">
        <v>0</v>
      </c>
      <c r="B187" s="8" t="s">
        <v>1</v>
      </c>
      <c r="C187" s="8" t="s">
        <v>9</v>
      </c>
      <c r="D187" s="8" t="s">
        <v>13</v>
      </c>
      <c r="E187" s="8" t="s">
        <v>29</v>
      </c>
      <c r="F187" s="8" t="s">
        <v>5</v>
      </c>
      <c r="G187" s="8" t="s">
        <v>6</v>
      </c>
      <c r="H187" s="8" t="s">
        <v>2</v>
      </c>
      <c r="I187" s="8" t="s">
        <v>179</v>
      </c>
      <c r="J187" s="8" t="s">
        <v>180</v>
      </c>
      <c r="K187" s="8" t="s">
        <v>56</v>
      </c>
      <c r="L187" s="8" t="s">
        <v>3</v>
      </c>
      <c r="M187" s="8" t="s">
        <v>4</v>
      </c>
      <c r="N187" s="9" t="s">
        <v>16</v>
      </c>
      <c r="O187" s="8" t="s">
        <v>14</v>
      </c>
      <c r="P187" s="132" t="s">
        <v>9</v>
      </c>
      <c r="Q187" s="133"/>
      <c r="R187" s="133"/>
      <c r="S187" s="134"/>
    </row>
    <row r="188" spans="1:19" x14ac:dyDescent="0.2">
      <c r="A188" s="103" t="s">
        <v>169</v>
      </c>
      <c r="B188" s="23"/>
      <c r="C188" s="23"/>
      <c r="D188" s="99">
        <v>42983</v>
      </c>
      <c r="E188" s="31"/>
      <c r="F188" s="25"/>
      <c r="G188" s="25"/>
      <c r="H188" s="49">
        <v>32</v>
      </c>
      <c r="I188" s="48"/>
      <c r="J188" s="48">
        <v>4</v>
      </c>
      <c r="K188" s="48">
        <v>30</v>
      </c>
      <c r="L188" s="29">
        <f>(100/K188)*J188</f>
        <v>13.333333333333334</v>
      </c>
      <c r="M188" s="50">
        <f>L188*H188</f>
        <v>426.66666666666669</v>
      </c>
      <c r="N188" s="50"/>
      <c r="O188" s="50"/>
      <c r="P188" s="105" t="s">
        <v>170</v>
      </c>
      <c r="Q188" s="106"/>
      <c r="R188" s="106"/>
      <c r="S188" s="107"/>
    </row>
    <row r="189" spans="1:19" x14ac:dyDescent="0.2">
      <c r="A189" s="104"/>
      <c r="B189" s="23"/>
      <c r="C189" s="23"/>
      <c r="D189" s="31"/>
      <c r="E189" s="31"/>
      <c r="F189" s="25"/>
      <c r="G189" s="25"/>
      <c r="H189" s="49"/>
      <c r="I189" s="48"/>
      <c r="J189" s="48"/>
      <c r="K189" s="48"/>
      <c r="L189" s="29"/>
      <c r="M189" s="50"/>
      <c r="N189" s="50"/>
      <c r="O189" s="50"/>
      <c r="P189" s="108"/>
      <c r="Q189" s="109"/>
      <c r="R189" s="109"/>
      <c r="S189" s="110"/>
    </row>
    <row r="190" spans="1:19" x14ac:dyDescent="0.2">
      <c r="A190" s="104"/>
      <c r="B190" s="23"/>
      <c r="C190" s="23"/>
      <c r="D190" s="24"/>
      <c r="E190" s="24"/>
      <c r="F190" s="25"/>
      <c r="G190" s="25"/>
      <c r="H190" s="25"/>
      <c r="I190" s="26"/>
      <c r="J190" s="26"/>
      <c r="K190" s="26"/>
      <c r="L190" s="29"/>
      <c r="M190" s="50"/>
      <c r="N190" s="50"/>
      <c r="O190" s="30"/>
      <c r="P190" s="108"/>
      <c r="Q190" s="109"/>
      <c r="R190" s="109"/>
      <c r="S190" s="110"/>
    </row>
    <row r="191" spans="1:19" x14ac:dyDescent="0.2">
      <c r="A191" s="104"/>
      <c r="B191" s="23"/>
      <c r="C191" s="23"/>
      <c r="D191" s="24"/>
      <c r="E191" s="24"/>
      <c r="F191" s="42"/>
      <c r="G191" s="25"/>
      <c r="H191" s="25"/>
      <c r="I191" s="26"/>
      <c r="J191" s="26"/>
      <c r="K191" s="26"/>
      <c r="L191" s="29"/>
      <c r="M191" s="50"/>
      <c r="N191" s="50"/>
      <c r="O191" s="30"/>
      <c r="P191" s="108"/>
      <c r="Q191" s="109"/>
      <c r="R191" s="109"/>
      <c r="S191" s="110"/>
    </row>
    <row r="192" spans="1:19" ht="15" thickBot="1" x14ac:dyDescent="0.25">
      <c r="A192" s="104"/>
      <c r="B192" s="23"/>
      <c r="C192" s="23"/>
      <c r="D192" s="24"/>
      <c r="E192" s="24"/>
      <c r="F192" s="25"/>
      <c r="G192" s="25"/>
      <c r="H192" s="25"/>
      <c r="I192" s="26"/>
      <c r="J192" s="26"/>
      <c r="K192" s="26"/>
      <c r="L192" s="35"/>
      <c r="M192" s="30"/>
      <c r="N192" s="30"/>
      <c r="O192" s="30"/>
      <c r="P192" s="108"/>
      <c r="Q192" s="109"/>
      <c r="R192" s="109"/>
      <c r="S192" s="110"/>
    </row>
    <row r="193" spans="1:19" ht="15" x14ac:dyDescent="0.2">
      <c r="A193" s="27"/>
      <c r="B193" s="111" t="s">
        <v>21</v>
      </c>
      <c r="C193" s="111"/>
      <c r="D193" s="111"/>
      <c r="E193" s="74"/>
      <c r="F193" s="112" t="s">
        <v>22</v>
      </c>
      <c r="G193" s="112"/>
      <c r="H193" s="17"/>
      <c r="I193" s="113" t="s">
        <v>8</v>
      </c>
      <c r="J193" s="113"/>
      <c r="K193" s="113"/>
      <c r="L193" s="114"/>
      <c r="M193" s="36" t="s">
        <v>10</v>
      </c>
      <c r="N193" s="115" t="s">
        <v>15</v>
      </c>
      <c r="O193" s="114"/>
      <c r="P193" s="17" t="s">
        <v>11</v>
      </c>
      <c r="Q193" s="17" t="s">
        <v>12</v>
      </c>
      <c r="R193" s="73" t="s">
        <v>20</v>
      </c>
      <c r="S193" s="19"/>
    </row>
    <row r="194" spans="1:19" ht="15" thickBot="1" x14ac:dyDescent="0.25">
      <c r="A194" s="28"/>
      <c r="B194" s="116"/>
      <c r="C194" s="116"/>
      <c r="D194" s="116"/>
      <c r="E194" s="75"/>
      <c r="F194" s="117"/>
      <c r="G194" s="117"/>
      <c r="H194" s="52"/>
      <c r="I194" s="118"/>
      <c r="J194" s="118"/>
      <c r="K194" s="118"/>
      <c r="L194" s="119"/>
      <c r="M194" s="75">
        <f>SUM(H188:H192)</f>
        <v>32</v>
      </c>
      <c r="N194" s="120">
        <f>O188</f>
        <v>0</v>
      </c>
      <c r="O194" s="121"/>
      <c r="P194" s="72">
        <v>0</v>
      </c>
      <c r="Q194" s="72">
        <f>P194*N194</f>
        <v>0</v>
      </c>
      <c r="R194" s="72">
        <f>Q194*5</f>
        <v>0</v>
      </c>
      <c r="S194" s="22"/>
    </row>
    <row r="195" spans="1:19" ht="15" thickBot="1" x14ac:dyDescent="0.25">
      <c r="A195" s="81"/>
      <c r="B195" s="82"/>
      <c r="C195" s="82"/>
      <c r="D195" s="82"/>
      <c r="E195" s="82"/>
      <c r="F195" s="82"/>
      <c r="G195" s="82"/>
      <c r="H195" s="82"/>
      <c r="I195" s="83"/>
      <c r="J195" s="83"/>
      <c r="K195" s="83"/>
      <c r="L195" s="82"/>
      <c r="M195" s="82"/>
      <c r="N195" s="84"/>
      <c r="O195" s="82"/>
      <c r="P195" s="82"/>
      <c r="Q195" s="82"/>
      <c r="R195" s="82"/>
      <c r="S195" s="85"/>
    </row>
    <row r="196" spans="1:19" ht="45.75" thickBot="1" x14ac:dyDescent="0.25">
      <c r="A196" s="7" t="s">
        <v>0</v>
      </c>
      <c r="B196" s="8" t="s">
        <v>1</v>
      </c>
      <c r="C196" s="8" t="s">
        <v>9</v>
      </c>
      <c r="D196" s="8" t="s">
        <v>13</v>
      </c>
      <c r="E196" s="8" t="s">
        <v>29</v>
      </c>
      <c r="F196" s="8" t="s">
        <v>5</v>
      </c>
      <c r="G196" s="8" t="s">
        <v>6</v>
      </c>
      <c r="H196" s="8" t="s">
        <v>2</v>
      </c>
      <c r="I196" s="8" t="s">
        <v>179</v>
      </c>
      <c r="J196" s="8" t="s">
        <v>180</v>
      </c>
      <c r="K196" s="8" t="s">
        <v>56</v>
      </c>
      <c r="L196" s="8" t="s">
        <v>3</v>
      </c>
      <c r="M196" s="8" t="s">
        <v>4</v>
      </c>
      <c r="N196" s="9" t="s">
        <v>16</v>
      </c>
      <c r="O196" s="8" t="s">
        <v>14</v>
      </c>
      <c r="P196" s="132" t="s">
        <v>9</v>
      </c>
      <c r="Q196" s="133"/>
      <c r="R196" s="133"/>
      <c r="S196" s="134"/>
    </row>
    <row r="197" spans="1:19" x14ac:dyDescent="0.2">
      <c r="A197" s="103" t="s">
        <v>30</v>
      </c>
      <c r="B197" s="23"/>
      <c r="C197" s="23"/>
      <c r="D197" s="31"/>
      <c r="E197" s="31"/>
      <c r="F197" s="25"/>
      <c r="G197" s="25"/>
      <c r="H197" s="49"/>
      <c r="I197" s="48"/>
      <c r="J197" s="48"/>
      <c r="K197" s="48"/>
      <c r="L197" s="29" t="e">
        <f>(100/K197)*J197</f>
        <v>#DIV/0!</v>
      </c>
      <c r="M197" s="50" t="e">
        <f>L197*H197</f>
        <v>#DIV/0!</v>
      </c>
      <c r="N197" s="50" t="e">
        <f>M197*1.3</f>
        <v>#DIV/0!</v>
      </c>
      <c r="O197" s="50"/>
      <c r="P197" s="105"/>
      <c r="Q197" s="106"/>
      <c r="R197" s="106"/>
      <c r="S197" s="107"/>
    </row>
    <row r="198" spans="1:19" x14ac:dyDescent="0.2">
      <c r="A198" s="104"/>
      <c r="B198" s="23"/>
      <c r="C198" s="23"/>
      <c r="D198" s="31"/>
      <c r="E198" s="31"/>
      <c r="F198" s="25"/>
      <c r="G198" s="25"/>
      <c r="H198" s="49"/>
      <c r="I198" s="48"/>
      <c r="J198" s="48"/>
      <c r="K198" s="48"/>
      <c r="L198" s="29"/>
      <c r="M198" s="50"/>
      <c r="N198" s="50"/>
      <c r="O198" s="50"/>
      <c r="P198" s="108"/>
      <c r="Q198" s="109"/>
      <c r="R198" s="109"/>
      <c r="S198" s="110"/>
    </row>
    <row r="199" spans="1:19" x14ac:dyDescent="0.2">
      <c r="A199" s="104"/>
      <c r="B199" s="23"/>
      <c r="C199" s="23"/>
      <c r="D199" s="24"/>
      <c r="E199" s="24"/>
      <c r="F199" s="25"/>
      <c r="G199" s="25"/>
      <c r="H199" s="25"/>
      <c r="I199" s="26"/>
      <c r="J199" s="26"/>
      <c r="K199" s="26"/>
      <c r="L199" s="29"/>
      <c r="M199" s="50"/>
      <c r="N199" s="50"/>
      <c r="O199" s="30"/>
      <c r="P199" s="108"/>
      <c r="Q199" s="109"/>
      <c r="R199" s="109"/>
      <c r="S199" s="110"/>
    </row>
    <row r="200" spans="1:19" x14ac:dyDescent="0.2">
      <c r="A200" s="104"/>
      <c r="B200" s="23"/>
      <c r="C200" s="23"/>
      <c r="D200" s="24"/>
      <c r="E200" s="24"/>
      <c r="F200" s="42"/>
      <c r="G200" s="25"/>
      <c r="H200" s="25"/>
      <c r="I200" s="26"/>
      <c r="J200" s="26"/>
      <c r="K200" s="26"/>
      <c r="L200" s="29"/>
      <c r="M200" s="50"/>
      <c r="N200" s="50"/>
      <c r="O200" s="30"/>
      <c r="P200" s="108"/>
      <c r="Q200" s="109"/>
      <c r="R200" s="109"/>
      <c r="S200" s="110"/>
    </row>
    <row r="201" spans="1:19" ht="15" thickBot="1" x14ac:dyDescent="0.25">
      <c r="A201" s="104"/>
      <c r="B201" s="23"/>
      <c r="C201" s="23"/>
      <c r="D201" s="24"/>
      <c r="E201" s="24"/>
      <c r="F201" s="25"/>
      <c r="G201" s="25"/>
      <c r="H201" s="25"/>
      <c r="I201" s="26"/>
      <c r="J201" s="26"/>
      <c r="K201" s="26"/>
      <c r="L201" s="35"/>
      <c r="M201" s="30"/>
      <c r="N201" s="30"/>
      <c r="O201" s="30"/>
      <c r="P201" s="108"/>
      <c r="Q201" s="109"/>
      <c r="R201" s="109"/>
      <c r="S201" s="110"/>
    </row>
    <row r="202" spans="1:19" ht="15" x14ac:dyDescent="0.2">
      <c r="A202" s="27"/>
      <c r="B202" s="111" t="s">
        <v>21</v>
      </c>
      <c r="C202" s="111"/>
      <c r="D202" s="111"/>
      <c r="E202" s="89"/>
      <c r="F202" s="112" t="s">
        <v>22</v>
      </c>
      <c r="G202" s="112"/>
      <c r="H202" s="17"/>
      <c r="I202" s="113" t="s">
        <v>8</v>
      </c>
      <c r="J202" s="113"/>
      <c r="K202" s="113"/>
      <c r="L202" s="114"/>
      <c r="M202" s="36" t="s">
        <v>10</v>
      </c>
      <c r="N202" s="115" t="s">
        <v>15</v>
      </c>
      <c r="O202" s="114"/>
      <c r="P202" s="17" t="s">
        <v>11</v>
      </c>
      <c r="Q202" s="17" t="s">
        <v>12</v>
      </c>
      <c r="R202" s="90" t="s">
        <v>20</v>
      </c>
      <c r="S202" s="19"/>
    </row>
    <row r="203" spans="1:19" ht="15" thickBot="1" x14ac:dyDescent="0.25">
      <c r="A203" s="28"/>
      <c r="B203" s="116"/>
      <c r="C203" s="116"/>
      <c r="D203" s="116"/>
      <c r="E203" s="91"/>
      <c r="F203" s="117"/>
      <c r="G203" s="117"/>
      <c r="H203" s="52"/>
      <c r="I203" s="118"/>
      <c r="J203" s="118"/>
      <c r="K203" s="118"/>
      <c r="L203" s="119"/>
      <c r="M203" s="91">
        <f>SUM(H197:H201)</f>
        <v>0</v>
      </c>
      <c r="N203" s="120">
        <f>O197</f>
        <v>0</v>
      </c>
      <c r="O203" s="121"/>
      <c r="P203" s="92">
        <v>0</v>
      </c>
      <c r="Q203" s="92">
        <f>P203*N203</f>
        <v>0</v>
      </c>
      <c r="R203" s="92">
        <f>Q203*5</f>
        <v>0</v>
      </c>
      <c r="S203" s="22"/>
    </row>
  </sheetData>
  <mergeCells count="276">
    <mergeCell ref="A79:A82"/>
    <mergeCell ref="A129:A130"/>
    <mergeCell ref="P196:S196"/>
    <mergeCell ref="A197:A201"/>
    <mergeCell ref="P197:S201"/>
    <mergeCell ref="B202:D202"/>
    <mergeCell ref="F202:G202"/>
    <mergeCell ref="I202:L202"/>
    <mergeCell ref="N202:O202"/>
    <mergeCell ref="A170:A174"/>
    <mergeCell ref="F157:G157"/>
    <mergeCell ref="I157:L157"/>
    <mergeCell ref="N157:O157"/>
    <mergeCell ref="B158:D158"/>
    <mergeCell ref="F158:G158"/>
    <mergeCell ref="I158:L158"/>
    <mergeCell ref="N158:O158"/>
    <mergeCell ref="P143:S143"/>
    <mergeCell ref="A144:A146"/>
    <mergeCell ref="P144:S146"/>
    <mergeCell ref="B147:D147"/>
    <mergeCell ref="F147:G147"/>
    <mergeCell ref="I147:L147"/>
    <mergeCell ref="N147:O147"/>
    <mergeCell ref="B203:D203"/>
    <mergeCell ref="F203:G203"/>
    <mergeCell ref="I203:L203"/>
    <mergeCell ref="N203:O203"/>
    <mergeCell ref="B185:D185"/>
    <mergeCell ref="F185:G185"/>
    <mergeCell ref="I185:L185"/>
    <mergeCell ref="N185:O185"/>
    <mergeCell ref="P169:S169"/>
    <mergeCell ref="P170:S174"/>
    <mergeCell ref="B175:D175"/>
    <mergeCell ref="F175:G175"/>
    <mergeCell ref="I175:L175"/>
    <mergeCell ref="N175:O175"/>
    <mergeCell ref="B176:D176"/>
    <mergeCell ref="F176:G176"/>
    <mergeCell ref="I176:L176"/>
    <mergeCell ref="N176:O176"/>
    <mergeCell ref="P187:S187"/>
    <mergeCell ref="A12:A17"/>
    <mergeCell ref="D51:E51"/>
    <mergeCell ref="P178:S178"/>
    <mergeCell ref="A179:A183"/>
    <mergeCell ref="P179:S183"/>
    <mergeCell ref="B184:D184"/>
    <mergeCell ref="F184:G184"/>
    <mergeCell ref="I184:L184"/>
    <mergeCell ref="N184:O184"/>
    <mergeCell ref="P160:S160"/>
    <mergeCell ref="A161:A165"/>
    <mergeCell ref="P161:S165"/>
    <mergeCell ref="B166:D166"/>
    <mergeCell ref="F166:G166"/>
    <mergeCell ref="I166:L166"/>
    <mergeCell ref="N166:O166"/>
    <mergeCell ref="B167:D167"/>
    <mergeCell ref="F167:G167"/>
    <mergeCell ref="I167:L167"/>
    <mergeCell ref="N167:O167"/>
    <mergeCell ref="P150:S150"/>
    <mergeCell ref="A151:A156"/>
    <mergeCell ref="P151:S156"/>
    <mergeCell ref="B157:D157"/>
    <mergeCell ref="B148:D148"/>
    <mergeCell ref="F148:G148"/>
    <mergeCell ref="I148:L148"/>
    <mergeCell ref="N148:O148"/>
    <mergeCell ref="P134:S134"/>
    <mergeCell ref="A135:A139"/>
    <mergeCell ref="P135:S139"/>
    <mergeCell ref="B140:D140"/>
    <mergeCell ref="F140:G140"/>
    <mergeCell ref="I140:L140"/>
    <mergeCell ref="N140:O140"/>
    <mergeCell ref="B141:D141"/>
    <mergeCell ref="F141:G141"/>
    <mergeCell ref="I141:L141"/>
    <mergeCell ref="N141:O141"/>
    <mergeCell ref="P128:S128"/>
    <mergeCell ref="P129:S130"/>
    <mergeCell ref="B131:D131"/>
    <mergeCell ref="F131:G131"/>
    <mergeCell ref="I131:L131"/>
    <mergeCell ref="N131:O131"/>
    <mergeCell ref="B132:D132"/>
    <mergeCell ref="F132:G132"/>
    <mergeCell ref="I132:L132"/>
    <mergeCell ref="N132:O132"/>
    <mergeCell ref="P119:S119"/>
    <mergeCell ref="A120:A124"/>
    <mergeCell ref="P120:S124"/>
    <mergeCell ref="B125:D125"/>
    <mergeCell ref="F125:G125"/>
    <mergeCell ref="I125:L125"/>
    <mergeCell ref="N125:O125"/>
    <mergeCell ref="B126:D126"/>
    <mergeCell ref="F126:G126"/>
    <mergeCell ref="I126:L126"/>
    <mergeCell ref="N126:O126"/>
    <mergeCell ref="A111:A115"/>
    <mergeCell ref="P111:S115"/>
    <mergeCell ref="B116:D116"/>
    <mergeCell ref="F116:G116"/>
    <mergeCell ref="I116:L116"/>
    <mergeCell ref="N116:O116"/>
    <mergeCell ref="B117:D117"/>
    <mergeCell ref="F117:G117"/>
    <mergeCell ref="I117:L117"/>
    <mergeCell ref="N117:O117"/>
    <mergeCell ref="B107:D107"/>
    <mergeCell ref="F107:G107"/>
    <mergeCell ref="I107:L107"/>
    <mergeCell ref="N107:O107"/>
    <mergeCell ref="B108:D108"/>
    <mergeCell ref="F108:G108"/>
    <mergeCell ref="I108:L108"/>
    <mergeCell ref="N108:O108"/>
    <mergeCell ref="P110:S110"/>
    <mergeCell ref="A102:A106"/>
    <mergeCell ref="P102:S106"/>
    <mergeCell ref="B90:D90"/>
    <mergeCell ref="F90:G90"/>
    <mergeCell ref="I90:L90"/>
    <mergeCell ref="N90:O90"/>
    <mergeCell ref="P92:S92"/>
    <mergeCell ref="A93:A97"/>
    <mergeCell ref="P93:S97"/>
    <mergeCell ref="B98:D98"/>
    <mergeCell ref="F98:G98"/>
    <mergeCell ref="I98:L98"/>
    <mergeCell ref="N98:O98"/>
    <mergeCell ref="B99:D99"/>
    <mergeCell ref="F99:G99"/>
    <mergeCell ref="I99:L99"/>
    <mergeCell ref="N99:O99"/>
    <mergeCell ref="P101:S101"/>
    <mergeCell ref="I89:L89"/>
    <mergeCell ref="N89:O89"/>
    <mergeCell ref="P86:S86"/>
    <mergeCell ref="A87:A88"/>
    <mergeCell ref="P87:S88"/>
    <mergeCell ref="I67:L67"/>
    <mergeCell ref="I68:L68"/>
    <mergeCell ref="I75:L75"/>
    <mergeCell ref="I76:L76"/>
    <mergeCell ref="I83:L83"/>
    <mergeCell ref="I84:L84"/>
    <mergeCell ref="P78:S78"/>
    <mergeCell ref="N68:O68"/>
    <mergeCell ref="N67:O67"/>
    <mergeCell ref="P81:S82"/>
    <mergeCell ref="B83:D83"/>
    <mergeCell ref="F83:G83"/>
    <mergeCell ref="N83:O83"/>
    <mergeCell ref="B84:D84"/>
    <mergeCell ref="F84:G84"/>
    <mergeCell ref="N84:O84"/>
    <mergeCell ref="B67:C67"/>
    <mergeCell ref="D67:E67"/>
    <mergeCell ref="F68:G68"/>
    <mergeCell ref="F67:G67"/>
    <mergeCell ref="B52:C52"/>
    <mergeCell ref="D52:E52"/>
    <mergeCell ref="B60:C60"/>
    <mergeCell ref="D60:E60"/>
    <mergeCell ref="B61:C61"/>
    <mergeCell ref="D61:E61"/>
    <mergeCell ref="B89:D89"/>
    <mergeCell ref="F89:G89"/>
    <mergeCell ref="B68:C68"/>
    <mergeCell ref="D68:E68"/>
    <mergeCell ref="B75:C75"/>
    <mergeCell ref="D75:E75"/>
    <mergeCell ref="B76:C76"/>
    <mergeCell ref="D76:E76"/>
    <mergeCell ref="F61:G61"/>
    <mergeCell ref="A29:A33"/>
    <mergeCell ref="P54:S54"/>
    <mergeCell ref="P63:S63"/>
    <mergeCell ref="B8:D8"/>
    <mergeCell ref="B9:D9"/>
    <mergeCell ref="F8:G8"/>
    <mergeCell ref="F9:G9"/>
    <mergeCell ref="B18:D18"/>
    <mergeCell ref="F18:G18"/>
    <mergeCell ref="B19:D19"/>
    <mergeCell ref="F19:G19"/>
    <mergeCell ref="B25:D25"/>
    <mergeCell ref="F25:G25"/>
    <mergeCell ref="B26:D26"/>
    <mergeCell ref="F26:G26"/>
    <mergeCell ref="P45:S45"/>
    <mergeCell ref="I51:L51"/>
    <mergeCell ref="N51:O51"/>
    <mergeCell ref="I52:L52"/>
    <mergeCell ref="N52:O52"/>
    <mergeCell ref="P21:S21"/>
    <mergeCell ref="F34:G34"/>
    <mergeCell ref="A55:A59"/>
    <mergeCell ref="I60:L60"/>
    <mergeCell ref="P2:S2"/>
    <mergeCell ref="I43:L43"/>
    <mergeCell ref="N43:O43"/>
    <mergeCell ref="I26:L26"/>
    <mergeCell ref="N26:O26"/>
    <mergeCell ref="P11:S11"/>
    <mergeCell ref="I9:L9"/>
    <mergeCell ref="N9:O9"/>
    <mergeCell ref="N25:O25"/>
    <mergeCell ref="P28:S28"/>
    <mergeCell ref="P29:S33"/>
    <mergeCell ref="P37:S37"/>
    <mergeCell ref="P38:S41"/>
    <mergeCell ref="N42:O42"/>
    <mergeCell ref="I19:L19"/>
    <mergeCell ref="N19:O19"/>
    <mergeCell ref="F51:G51"/>
    <mergeCell ref="F52:G52"/>
    <mergeCell ref="F60:G60"/>
    <mergeCell ref="B34:C34"/>
    <mergeCell ref="D34:E34"/>
    <mergeCell ref="B35:C35"/>
    <mergeCell ref="D35:E35"/>
    <mergeCell ref="B42:C42"/>
    <mergeCell ref="D42:E42"/>
    <mergeCell ref="B43:C43"/>
    <mergeCell ref="D43:E43"/>
    <mergeCell ref="B51:C51"/>
    <mergeCell ref="A46:A50"/>
    <mergeCell ref="I34:L34"/>
    <mergeCell ref="N34:O34"/>
    <mergeCell ref="I35:L35"/>
    <mergeCell ref="N35:O35"/>
    <mergeCell ref="A38:A41"/>
    <mergeCell ref="I42:L42"/>
    <mergeCell ref="F42:G42"/>
    <mergeCell ref="F43:G43"/>
    <mergeCell ref="F35:G35"/>
    <mergeCell ref="P64:S66"/>
    <mergeCell ref="P46:S50"/>
    <mergeCell ref="F76:G76"/>
    <mergeCell ref="N76:O76"/>
    <mergeCell ref="A3:A7"/>
    <mergeCell ref="P3:S7"/>
    <mergeCell ref="I8:L8"/>
    <mergeCell ref="N8:O8"/>
    <mergeCell ref="P12:S17"/>
    <mergeCell ref="I18:L18"/>
    <mergeCell ref="N18:O18"/>
    <mergeCell ref="A22:A24"/>
    <mergeCell ref="P22:S24"/>
    <mergeCell ref="I25:L25"/>
    <mergeCell ref="P55:S59"/>
    <mergeCell ref="P70:S70"/>
    <mergeCell ref="A71:A74"/>
    <mergeCell ref="P71:S74"/>
    <mergeCell ref="F75:G75"/>
    <mergeCell ref="N75:O75"/>
    <mergeCell ref="A64:A66"/>
    <mergeCell ref="N60:O60"/>
    <mergeCell ref="I61:L61"/>
    <mergeCell ref="N61:O61"/>
    <mergeCell ref="A188:A192"/>
    <mergeCell ref="P188:S192"/>
    <mergeCell ref="B193:D193"/>
    <mergeCell ref="F193:G193"/>
    <mergeCell ref="I193:L193"/>
    <mergeCell ref="N193:O193"/>
    <mergeCell ref="B194:D194"/>
    <mergeCell ref="F194:G194"/>
    <mergeCell ref="I194:L194"/>
    <mergeCell ref="N194:O194"/>
  </mergeCells>
  <pageMargins left="0.7" right="0.7" top="0.75" bottom="0.75" header="0.3" footer="0.3"/>
  <pageSetup paperSize="9" scale="77" orientation="landscape" horizontalDpi="300" verticalDpi="300" r:id="rId1"/>
  <headerFooter>
    <oddHeader>&amp;C&amp;"-,Bold"&amp;16תכנון גידולים - שקוף 9.2011-2.2012&amp;R&amp;"-,Bold"מאת: עידן אליקים
         אגרונום, חווה ואדם.</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תוכנית גידול</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Idan</dc:creator>
  <cp:lastModifiedBy>עידן אליקים</cp:lastModifiedBy>
  <cp:lastPrinted>2017-03-13T07:54:39Z</cp:lastPrinted>
  <dcterms:created xsi:type="dcterms:W3CDTF">2011-06-15T05:41:27Z</dcterms:created>
  <dcterms:modified xsi:type="dcterms:W3CDTF">2017-11-28T20:22:07Z</dcterms:modified>
</cp:coreProperties>
</file>